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review" sheetId="1" state="visible" r:id="rId3"/>
    <sheet name="Review" sheetId="2" state="visible" r:id="rId4"/>
  </sheets>
  <definedNames>
    <definedName function="false" hidden="true" localSheetId="1" name="_xlnm._FilterDatabase" vbProcedure="false">Review!$A$1:$U$1022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<sst xmlns="http://schemas.openxmlformats.org/spreadsheetml/2006/main" count="5907" uniqueCount="2727">
  <si>
    <t xml:space="preserve">OpenAlex identity review</t>
  </si>
  <si>
    <t xml:space="preserve">278 people, one block of rows each (up to five candidate OpenAlex records). Work top to bottom; the Group column says why the matcher held the case.</t>
  </si>
  <si>
    <t xml:space="preserve">For each person:</t>
  </si>
  <si>
    <t xml:space="preserve">1. Click the OpenAlex page link to see the candidate's papers; click the department name for the faculty page if needed.</t>
  </si>
  <si>
    <t xml:space="preserve">2. In the yellow Decision cell of the row that IS this person, choose 'accepted'. Mark the other rows 'rejected'. If none is the person, mark all 'rejected'.</t>
  </si>
  <si>
    <t xml:space="preserve">3. Put your name in Reviewed by and the date in Date. Notes are optional.</t>
  </si>
  <si>
    <t xml:space="preserve">4. Leave rows you are unsure about blank; they stay pending.</t>
  </si>
  <si>
    <t xml:space="preserve">Groups:</t>
  </si>
  <si>
    <t xml:space="preserve">A. Two real profiles, same person: OpenAlex has split one person into two records. Accept the one with more works; the rest are rejected. Usually 10 seconds.</t>
  </si>
  <si>
    <t xml:space="preserve">B. No institution match: OpenAlex knows the person only via a past affiliation (often the PhD school). Check the paper list is in the right field.</t>
  </si>
  <si>
    <t xml:space="preserve">C. Citation count implausible: OpenAlex shows far more or far fewer citations than Scholar/PoP. Often a namesake with a bigger record; look at the papers.</t>
  </si>
  <si>
    <t xml:space="preserve">D. Only a near-empty record: one or two works, no citations. Accept if clearly them and nothing better exists; otherwise reject.</t>
  </si>
  <si>
    <t xml:space="preserve">E. Weak name match: hyphen, diacritic, or middle-name differences. Quick to confirm by eye.</t>
  </si>
  <si>
    <t xml:space="preserve">F. No record found: nothing to decide; listed so the reviewer knows.</t>
  </si>
  <si>
    <t xml:space="preserve">Columns: Scholar cites = the number we already hold (Scholar or PoP). OA cites = OpenAlex's count. Ratio = OA / ours (OpenAlex is usually 0.3 to 0.9 of Scholar). Name sim, Inst, Topics, Score = the matcher's evidence.</t>
  </si>
  <si>
    <t xml:space="preserve">When done, save and run:  python -m pipeline.import_review data/review/openalex_review.xlsx</t>
  </si>
  <si>
    <t xml:space="preserve">Example decision (already filled): none. The first person in the Review tab is a good first case.</t>
  </si>
  <si>
    <t xml:space="preserve">Summary</t>
  </si>
  <si>
    <t xml:space="preserve">Candidate rows</t>
  </si>
  <si>
    <t xml:space="preserve">Marked accepted</t>
  </si>
  <si>
    <t xml:space="preserve">Marked rejected</t>
  </si>
  <si>
    <t xml:space="preserve">People with a decision</t>
  </si>
  <si>
    <t xml:space="preserve">Group</t>
  </si>
  <si>
    <t xml:space="preserve">Person</t>
  </si>
  <si>
    <t xml:space="preserve">Department</t>
  </si>
  <si>
    <t xml:space="preserve">PhD</t>
  </si>
  <si>
    <t xml:space="preserve">Scholar cites</t>
  </si>
  <si>
    <t xml:space="preserve">Candidate</t>
  </si>
  <si>
    <t xml:space="preserve">OpenAlex page</t>
  </si>
  <si>
    <t xml:space="preserve">Last known institution</t>
  </si>
  <si>
    <t xml:space="preserve">Works</t>
  </si>
  <si>
    <t xml:space="preserve">OA cites</t>
  </si>
  <si>
    <t xml:space="preserve">Ratio</t>
  </si>
  <si>
    <t xml:space="preserve">Name sim</t>
  </si>
  <si>
    <t xml:space="preserve">Inst</t>
  </si>
  <si>
    <t xml:space="preserve">Topics</t>
  </si>
  <si>
    <t xml:space="preserve">Score</t>
  </si>
  <si>
    <t xml:space="preserve">Decision</t>
  </si>
  <si>
    <t xml:space="preserve">Reviewed by</t>
  </si>
  <si>
    <t xml:space="preserve">Date</t>
  </si>
  <si>
    <t xml:space="preserve">Notes</t>
  </si>
  <si>
    <t xml:space="preserve">person_id</t>
  </si>
  <si>
    <t xml:space="preserve">external_id</t>
  </si>
  <si>
    <t xml:space="preserve">A. Two real profiles, same person (pick the larger)</t>
  </si>
  <si>
    <t xml:space="preserve">Philip Ashton</t>
  </si>
  <si>
    <t xml:space="preserve">University of Illinois, Chicago</t>
  </si>
  <si>
    <t xml:space="preserve">2005 Rutgers University</t>
  </si>
  <si>
    <t xml:space="preserve">A5089853346</t>
  </si>
  <si>
    <t xml:space="preserve">666</t>
  </si>
  <si>
    <t xml:space="preserve">A5126547844</t>
  </si>
  <si>
    <t xml:space="preserve">University of Illinois Urbana-Champaign</t>
  </si>
  <si>
    <t xml:space="preserve">A5109390088</t>
  </si>
  <si>
    <t xml:space="preserve">University of Illinois Chicago</t>
  </si>
  <si>
    <t xml:space="preserve">Philip Ashton Rollins</t>
  </si>
  <si>
    <t xml:space="preserve">A5056680846</t>
  </si>
  <si>
    <t xml:space="preserve">Philip Ashton Marc Doussard Rachel Weber</t>
  </si>
  <si>
    <t xml:space="preserve">A5042214231</t>
  </si>
  <si>
    <t xml:space="preserve">Christine Bae</t>
  </si>
  <si>
    <t xml:space="preserve">University of Washington</t>
  </si>
  <si>
    <t xml:space="preserve">1994 USC</t>
  </si>
  <si>
    <t xml:space="preserve">Chang‐Hee Christine Bae</t>
  </si>
  <si>
    <t xml:space="preserve">A5087736214</t>
  </si>
  <si>
    <t xml:space="preserve">935</t>
  </si>
  <si>
    <t xml:space="preserve">Christine L. Bae</t>
  </si>
  <si>
    <t xml:space="preserve">A5037072529</t>
  </si>
  <si>
    <t xml:space="preserve">Virginia Commonwealth University</t>
  </si>
  <si>
    <t xml:space="preserve">Christine You-jin Bae</t>
  </si>
  <si>
    <t xml:space="preserve">A5014935940</t>
  </si>
  <si>
    <t xml:space="preserve">University of Toronto</t>
  </si>
  <si>
    <t xml:space="preserve">Christine Chang-hee Bae</t>
  </si>
  <si>
    <t xml:space="preserve">A5065697603</t>
  </si>
  <si>
    <t xml:space="preserve">Christine Lee Bae</t>
  </si>
  <si>
    <t xml:space="preserve">A5140773643</t>
  </si>
  <si>
    <t xml:space="preserve">Reza Banai</t>
  </si>
  <si>
    <t xml:space="preserve">University of Memphis</t>
  </si>
  <si>
    <t xml:space="preserve">1983 University of Pennsylvania</t>
  </si>
  <si>
    <t xml:space="preserve">A5039582865</t>
  </si>
  <si>
    <t xml:space="preserve">752</t>
  </si>
  <si>
    <t xml:space="preserve">Reza Banai‐Kashani</t>
  </si>
  <si>
    <t xml:space="preserve">A5056839902</t>
  </si>
  <si>
    <t xml:space="preserve">Jeff Birchall</t>
  </si>
  <si>
    <t xml:space="preserve">University of Alberta</t>
  </si>
  <si>
    <t xml:space="preserve">2013 University of Canterbury, Christchurch, New Zealand</t>
  </si>
  <si>
    <t xml:space="preserve">S. Jeff Birchall</t>
  </si>
  <si>
    <t xml:space="preserve">A5013138501</t>
  </si>
  <si>
    <t xml:space="preserve">567</t>
  </si>
  <si>
    <t xml:space="preserve">A5041043221</t>
  </si>
  <si>
    <t xml:space="preserve">A5130904400</t>
  </si>
  <si>
    <t xml:space="preserve">A5121004778</t>
  </si>
  <si>
    <t xml:space="preserve">JEFF BIRCHALL</t>
  </si>
  <si>
    <t xml:space="preserve">A5028998983</t>
  </si>
  <si>
    <t xml:space="preserve">Evelyn Blumenberg</t>
  </si>
  <si>
    <t xml:space="preserve">UCLA</t>
  </si>
  <si>
    <t xml:space="preserve">1995 UCLA</t>
  </si>
  <si>
    <t xml:space="preserve">A5080264291</t>
  </si>
  <si>
    <t xml:space="preserve">University of California, Los Angeles</t>
  </si>
  <si>
    <t xml:space="preserve">483</t>
  </si>
  <si>
    <t xml:space="preserve">A5137629448</t>
  </si>
  <si>
    <t xml:space="preserve">Evelyn A. Blumenberg</t>
  </si>
  <si>
    <t xml:space="preserve">A5135492732</t>
  </si>
  <si>
    <t xml:space="preserve">Teresa Caldeira</t>
  </si>
  <si>
    <t xml:space="preserve">UC Berkeley</t>
  </si>
  <si>
    <t xml:space="preserve">1980 UC Berkeley</t>
  </si>
  <si>
    <t xml:space="preserve">A5011453865</t>
  </si>
  <si>
    <t xml:space="preserve">Hospital de São João</t>
  </si>
  <si>
    <t xml:space="preserve">435</t>
  </si>
  <si>
    <t xml:space="preserve">Teresa Pires do Rio Caldeira</t>
  </si>
  <si>
    <t xml:space="preserve">A5077305910</t>
  </si>
  <si>
    <t xml:space="preserve">Berkeley College</t>
  </si>
  <si>
    <t xml:space="preserve">A5114290226</t>
  </si>
  <si>
    <t xml:space="preserve">University of California, Berkeley</t>
  </si>
  <si>
    <t xml:space="preserve">Teresa P. R. Caldeira</t>
  </si>
  <si>
    <t xml:space="preserve">A5104996243</t>
  </si>
  <si>
    <t xml:space="preserve">A5104996457</t>
  </si>
  <si>
    <t xml:space="preserve">Scott Campbell</t>
  </si>
  <si>
    <t xml:space="preserve">University of Michigan</t>
  </si>
  <si>
    <t xml:space="preserve">1990 UC Berkeley</t>
  </si>
  <si>
    <t xml:space="preserve">A5040964918</t>
  </si>
  <si>
    <t xml:space="preserve">Saint Louis University</t>
  </si>
  <si>
    <t xml:space="preserve">757</t>
  </si>
  <si>
    <t xml:space="preserve">Scott W. Campbell</t>
  </si>
  <si>
    <t xml:space="preserve">A5003617821</t>
  </si>
  <si>
    <t xml:space="preserve">The Ohio State University</t>
  </si>
  <si>
    <t xml:space="preserve">Scott E. Campbell</t>
  </si>
  <si>
    <t xml:space="preserve">A5012790394</t>
  </si>
  <si>
    <t xml:space="preserve">Facility for Rare Isotope Beams</t>
  </si>
  <si>
    <t xml:space="preserve">Scott R. Campbell</t>
  </si>
  <si>
    <t xml:space="preserve">A5025717563</t>
  </si>
  <si>
    <t xml:space="preserve">New York State Department of Health</t>
  </si>
  <si>
    <t xml:space="preserve">A5111589818</t>
  </si>
  <si>
    <t xml:space="preserve">Princess Alexandra Hospital</t>
  </si>
  <si>
    <t xml:space="preserve">Sanya Carley</t>
  </si>
  <si>
    <t xml:space="preserve">University of Pennsylvania</t>
  </si>
  <si>
    <t xml:space="preserve">2010 UNC</t>
  </si>
  <si>
    <t xml:space="preserve">A5077734625</t>
  </si>
  <si>
    <t xml:space="preserve">828</t>
  </si>
  <si>
    <t xml:space="preserve">A5135637090</t>
  </si>
  <si>
    <t xml:space="preserve">California University of Pennsylvania</t>
  </si>
  <si>
    <t xml:space="preserve">Xueming Chen</t>
  </si>
  <si>
    <t xml:space="preserve">1991 USC</t>
  </si>
  <si>
    <t xml:space="preserve">A5036924709</t>
  </si>
  <si>
    <t xml:space="preserve">994</t>
  </si>
  <si>
    <t xml:space="preserve">A5101692806</t>
  </si>
  <si>
    <t xml:space="preserve">Fuzhou University</t>
  </si>
  <si>
    <t xml:space="preserve">A5043119394</t>
  </si>
  <si>
    <t xml:space="preserve">Guangdong Academy of Sciences</t>
  </si>
  <si>
    <t xml:space="preserve">A5019759111</t>
  </si>
  <si>
    <t xml:space="preserve">A5078225705</t>
  </si>
  <si>
    <t xml:space="preserve">East China Normal University</t>
  </si>
  <si>
    <t xml:space="preserve">Jennifer Clark</t>
  </si>
  <si>
    <t xml:space="preserve">Ohio State University</t>
  </si>
  <si>
    <t xml:space="preserve">2004 Cornell University</t>
  </si>
  <si>
    <t xml:space="preserve">A5102888009</t>
  </si>
  <si>
    <t xml:space="preserve">Center for Drug Evaluation and Research</t>
  </si>
  <si>
    <t xml:space="preserve">281</t>
  </si>
  <si>
    <t xml:space="preserve">A5057852842</t>
  </si>
  <si>
    <t xml:space="preserve">University of South Alabama</t>
  </si>
  <si>
    <t xml:space="preserve">Jennifer B. Clark</t>
  </si>
  <si>
    <t xml:space="preserve">A5067809524</t>
  </si>
  <si>
    <t xml:space="preserve">Jennifer Hayes Clark</t>
  </si>
  <si>
    <t xml:space="preserve">A5101760558</t>
  </si>
  <si>
    <t xml:space="preserve">University of Houston</t>
  </si>
  <si>
    <t xml:space="preserve">A5110041004</t>
  </si>
  <si>
    <t xml:space="preserve">King's College London</t>
  </si>
  <si>
    <t xml:space="preserve">Makena Coffman</t>
  </si>
  <si>
    <t xml:space="preserve">University of Hawaii</t>
  </si>
  <si>
    <t xml:space="preserve">2007 University of Hawaii</t>
  </si>
  <si>
    <t xml:space="preserve">A5039842908</t>
  </si>
  <si>
    <t xml:space="preserve">Regional Plan Association</t>
  </si>
  <si>
    <t xml:space="preserve">656</t>
  </si>
  <si>
    <t xml:space="preserve">A5036840918</t>
  </si>
  <si>
    <t xml:space="preserve">University of Hawaiʻi at Mānoa</t>
  </si>
  <si>
    <t xml:space="preserve">A5014180091</t>
  </si>
  <si>
    <t xml:space="preserve">A5123329700</t>
  </si>
  <si>
    <t xml:space="preserve">A5134303400</t>
  </si>
  <si>
    <t xml:space="preserve">Ashok Das</t>
  </si>
  <si>
    <t xml:space="preserve">2008 UCLA</t>
  </si>
  <si>
    <t xml:space="preserve">A5085634129</t>
  </si>
  <si>
    <t xml:space="preserve">India Meteorological Department</t>
  </si>
  <si>
    <t xml:space="preserve">657</t>
  </si>
  <si>
    <t xml:space="preserve">A5045747223</t>
  </si>
  <si>
    <t xml:space="preserve">University of Notre Dame</t>
  </si>
  <si>
    <t xml:space="preserve">A5080251065</t>
  </si>
  <si>
    <t xml:space="preserve">A5059661645</t>
  </si>
  <si>
    <t xml:space="preserve">Indian Institute of Technology Dhanbad</t>
  </si>
  <si>
    <t xml:space="preserve">A5133175982</t>
  </si>
  <si>
    <t xml:space="preserve">University of Calcutta</t>
  </si>
  <si>
    <t xml:space="preserve">Diane Davis</t>
  </si>
  <si>
    <t xml:space="preserve">Harvard University</t>
  </si>
  <si>
    <t xml:space="preserve">1986 UCLA</t>
  </si>
  <si>
    <t xml:space="preserve">Diane E. Davis</t>
  </si>
  <si>
    <t xml:space="preserve">A5043951137</t>
  </si>
  <si>
    <t xml:space="preserve">Canadian Institute for Advanced Research</t>
  </si>
  <si>
    <t xml:space="preserve">135</t>
  </si>
  <si>
    <t xml:space="preserve">A5109102523</t>
  </si>
  <si>
    <t xml:space="preserve">Diane Holditch‐Davis</t>
  </si>
  <si>
    <t xml:space="preserve">A5039900862</t>
  </si>
  <si>
    <t xml:space="preserve">Diane Davis Villemaire</t>
  </si>
  <si>
    <t xml:space="preserve">A5031863744</t>
  </si>
  <si>
    <t xml:space="preserve">Diane Holditch Davis</t>
  </si>
  <si>
    <t xml:space="preserve">A5065542788</t>
  </si>
  <si>
    <t xml:space="preserve">University of Arizona</t>
  </si>
  <si>
    <t xml:space="preserve">Mary Davis</t>
  </si>
  <si>
    <t xml:space="preserve">Tufts University</t>
  </si>
  <si>
    <t xml:space="preserve">2003 University of Florida</t>
  </si>
  <si>
    <t xml:space="preserve">Mary E. Davis</t>
  </si>
  <si>
    <t xml:space="preserve">A5114251093</t>
  </si>
  <si>
    <t xml:space="preserve">421</t>
  </si>
  <si>
    <t xml:space="preserve">Mary V. Davis</t>
  </si>
  <si>
    <t xml:space="preserve">A5103531940</t>
  </si>
  <si>
    <t xml:space="preserve">Emory Healthcare</t>
  </si>
  <si>
    <t xml:space="preserve">A5011623992</t>
  </si>
  <si>
    <t xml:space="preserve">Memorial Sloan Kettering Cancer Center</t>
  </si>
  <si>
    <t xml:space="preserve">Mary J. Davis</t>
  </si>
  <si>
    <t xml:space="preserve">A5043269088</t>
  </si>
  <si>
    <t xml:space="preserve">Pathwest Laboratory Medicine</t>
  </si>
  <si>
    <t xml:space="preserve">A5065327053</t>
  </si>
  <si>
    <t xml:space="preserve">Ehab Diab</t>
  </si>
  <si>
    <t xml:space="preserve">University of Saskatchewan</t>
  </si>
  <si>
    <t xml:space="preserve">2015 McGill University</t>
  </si>
  <si>
    <t xml:space="preserve">A5011657661</t>
  </si>
  <si>
    <t xml:space="preserve">869</t>
  </si>
  <si>
    <t xml:space="preserve">A5135292063</t>
  </si>
  <si>
    <t xml:space="preserve">Ehab Mansour Diab</t>
  </si>
  <si>
    <t xml:space="preserve">A5092596422</t>
  </si>
  <si>
    <t xml:space="preserve">inVentiv Health Clinical</t>
  </si>
  <si>
    <t xml:space="preserve">Basant Ehab Diab</t>
  </si>
  <si>
    <t xml:space="preserve">A5113380088</t>
  </si>
  <si>
    <t xml:space="preserve">Commissariat à l'Énergie Atomique et aux Énergies Alternatives</t>
  </si>
  <si>
    <t xml:space="preserve">Xiaoxia Dong</t>
  </si>
  <si>
    <t xml:space="preserve">2020 University of Pennsylvania</t>
  </si>
  <si>
    <t xml:space="preserve">A5013899552</t>
  </si>
  <si>
    <t xml:space="preserve">University City Science Center</t>
  </si>
  <si>
    <t xml:space="preserve">831</t>
  </si>
  <si>
    <t xml:space="preserve">A5046911671</t>
  </si>
  <si>
    <t xml:space="preserve">A5100566198</t>
  </si>
  <si>
    <t xml:space="preserve">Hubei University of Medicine</t>
  </si>
  <si>
    <t xml:space="preserve">A5136577779</t>
  </si>
  <si>
    <t xml:space="preserve">A5128916995</t>
  </si>
  <si>
    <t xml:space="preserve">Ellen Douglas</t>
  </si>
  <si>
    <t xml:space="preserve">University of Massachusetts-Boston</t>
  </si>
  <si>
    <t xml:space="preserve">2002 Tufts University</t>
  </si>
  <si>
    <t xml:space="preserve">A5059342159</t>
  </si>
  <si>
    <t xml:space="preserve">Murdoch Children's Research Institute</t>
  </si>
  <si>
    <t xml:space="preserve">741</t>
  </si>
  <si>
    <t xml:space="preserve">A5103532680</t>
  </si>
  <si>
    <t xml:space="preserve">University of Massachusetts Boston</t>
  </si>
  <si>
    <t xml:space="preserve">A5035629877</t>
  </si>
  <si>
    <t xml:space="preserve">Ellen Douglas Moule</t>
  </si>
  <si>
    <t xml:space="preserve">A5005368944</t>
  </si>
  <si>
    <t xml:space="preserve">Ellen Douglas Smith</t>
  </si>
  <si>
    <t xml:space="preserve">A5000208273</t>
  </si>
  <si>
    <t xml:space="preserve">Jean Dubé</t>
  </si>
  <si>
    <t xml:space="preserve">Universite Laval</t>
  </si>
  <si>
    <t xml:space="preserve">2010 Université Laval</t>
  </si>
  <si>
    <t xml:space="preserve">A5068219276</t>
  </si>
  <si>
    <t xml:space="preserve">Territoires</t>
  </si>
  <si>
    <t xml:space="preserve">537</t>
  </si>
  <si>
    <t xml:space="preserve">Jean‐Sébastien Dubé</t>
  </si>
  <si>
    <t xml:space="preserve">A5082852817</t>
  </si>
  <si>
    <t xml:space="preserve">Jean-Christophe Dubé</t>
  </si>
  <si>
    <t xml:space="preserve">A5100925769</t>
  </si>
  <si>
    <t xml:space="preserve">Université Laval</t>
  </si>
  <si>
    <t xml:space="preserve">A5078491303</t>
  </si>
  <si>
    <t xml:space="preserve">Jean Y. Dubé</t>
  </si>
  <si>
    <t xml:space="preserve">A5101865358</t>
  </si>
  <si>
    <t xml:space="preserve">Université de Sherbrooke</t>
  </si>
  <si>
    <t xml:space="preserve">Michael Duncan</t>
  </si>
  <si>
    <t xml:space="preserve">Florida State University</t>
  </si>
  <si>
    <t xml:space="preserve">2007 UC Berkeley</t>
  </si>
  <si>
    <t xml:space="preserve">A5103007817</t>
  </si>
  <si>
    <t xml:space="preserve">113</t>
  </si>
  <si>
    <t xml:space="preserve">A5037358522</t>
  </si>
  <si>
    <t xml:space="preserve">Deakin University</t>
  </si>
  <si>
    <t xml:space="preserve">J. Michael Duncan</t>
  </si>
  <si>
    <t xml:space="preserve">A5027830408</t>
  </si>
  <si>
    <t xml:space="preserve">University of Arkansas at Fayetteville</t>
  </si>
  <si>
    <t xml:space="preserve">Michael Schmidt Duncan</t>
  </si>
  <si>
    <t xml:space="preserve">A5048033499</t>
  </si>
  <si>
    <t xml:space="preserve">Secretaria Municipal de Saúde</t>
  </si>
  <si>
    <t xml:space="preserve">Michael J. Duncan</t>
  </si>
  <si>
    <t xml:space="preserve">A5107894700</t>
  </si>
  <si>
    <t xml:space="preserve">Coventry University</t>
  </si>
  <si>
    <t xml:space="preserve">Mary Edwards</t>
  </si>
  <si>
    <t xml:space="preserve">University of Illinois, Urbana-Champaign</t>
  </si>
  <si>
    <t xml:space="preserve">1997 University of Wisconsin, Madison</t>
  </si>
  <si>
    <t xml:space="preserve">Mary M. Edwards</t>
  </si>
  <si>
    <t xml:space="preserve">A5111793909</t>
  </si>
  <si>
    <t xml:space="preserve">682</t>
  </si>
  <si>
    <t xml:space="preserve">A5112580888</t>
  </si>
  <si>
    <t xml:space="preserve">University of Southampton</t>
  </si>
  <si>
    <t xml:space="preserve">MARY‐ELLEN EDWARDS</t>
  </si>
  <si>
    <t xml:space="preserve">A5100810336</t>
  </si>
  <si>
    <t xml:space="preserve">Karolinska Institutet</t>
  </si>
  <si>
    <t xml:space="preserve">Mary E. Edwards</t>
  </si>
  <si>
    <t xml:space="preserve">A5103338440</t>
  </si>
  <si>
    <t xml:space="preserve">A5102025790</t>
  </si>
  <si>
    <t xml:space="preserve">Hemel Hempstead Hospital</t>
  </si>
  <si>
    <t xml:space="preserve">Yingling Fan</t>
  </si>
  <si>
    <t xml:space="preserve">University of Minnesota</t>
  </si>
  <si>
    <t xml:space="preserve">2007 UNC</t>
  </si>
  <si>
    <t xml:space="preserve">A5076893686</t>
  </si>
  <si>
    <t xml:space="preserve">775</t>
  </si>
  <si>
    <t xml:space="preserve">A5109222674</t>
  </si>
  <si>
    <t xml:space="preserve">A5136842184</t>
  </si>
  <si>
    <t xml:space="preserve">A5135509576</t>
  </si>
  <si>
    <t xml:space="preserve">A5147551867</t>
  </si>
  <si>
    <t xml:space="preserve">University of Minnesota System</t>
  </si>
  <si>
    <t xml:space="preserve">Yiping Fang</t>
  </si>
  <si>
    <t xml:space="preserve">Portland State University</t>
  </si>
  <si>
    <t xml:space="preserve">2005 University of Colorado, Denver</t>
  </si>
  <si>
    <t xml:space="preserve">A5102749932</t>
  </si>
  <si>
    <t xml:space="preserve">293</t>
  </si>
  <si>
    <t xml:space="preserve">A5012345184</t>
  </si>
  <si>
    <t xml:space="preserve">Chinese Academy of Sciences</t>
  </si>
  <si>
    <t xml:space="preserve">A5140944634</t>
  </si>
  <si>
    <t xml:space="preserve">A5148103774</t>
  </si>
  <si>
    <t xml:space="preserve">A5121594083</t>
  </si>
  <si>
    <t xml:space="preserve">Ding Fei</t>
  </si>
  <si>
    <t xml:space="preserve">Cornell University</t>
  </si>
  <si>
    <t xml:space="preserve">2018 University of Minnesota</t>
  </si>
  <si>
    <t xml:space="preserve">A5042356480</t>
  </si>
  <si>
    <t xml:space="preserve">77</t>
  </si>
  <si>
    <t xml:space="preserve">Fei Ding</t>
  </si>
  <si>
    <t xml:space="preserve">A5045995739</t>
  </si>
  <si>
    <t xml:space="preserve">Jiangsu University</t>
  </si>
  <si>
    <t xml:space="preserve">A5102911810</t>
  </si>
  <si>
    <t xml:space="preserve">Hunan University</t>
  </si>
  <si>
    <t xml:space="preserve">A5032738351</t>
  </si>
  <si>
    <t xml:space="preserve">National Laboratory of the Rockies</t>
  </si>
  <si>
    <t xml:space="preserve">A5101425803</t>
  </si>
  <si>
    <t xml:space="preserve">China Pharmaceutical University</t>
  </si>
  <si>
    <t xml:space="preserve">Joan Fitzgerald</t>
  </si>
  <si>
    <t xml:space="preserve">Northeastern University</t>
  </si>
  <si>
    <t xml:space="preserve">1988 Pennsylvania State University</t>
  </si>
  <si>
    <t xml:space="preserve">A5109562143</t>
  </si>
  <si>
    <t xml:space="preserve">262</t>
  </si>
  <si>
    <t xml:space="preserve">A5007475426</t>
  </si>
  <si>
    <t xml:space="preserve">National Maternity Hospital</t>
  </si>
  <si>
    <t xml:space="preserve">Joan FitzGerald Denny</t>
  </si>
  <si>
    <t xml:space="preserve">A5016324703</t>
  </si>
  <si>
    <t xml:space="preserve">Joan Fitzgerald Ely</t>
  </si>
  <si>
    <t xml:space="preserve">A5044267363</t>
  </si>
  <si>
    <t xml:space="preserve">A5104642185</t>
  </si>
  <si>
    <t xml:space="preserve">Jennifer Foster</t>
  </si>
  <si>
    <t xml:space="preserve">York University</t>
  </si>
  <si>
    <t xml:space="preserve">2006 York University</t>
  </si>
  <si>
    <t xml:space="preserve">A5064645168</t>
  </si>
  <si>
    <t xml:space="preserve">1040</t>
  </si>
  <si>
    <t xml:space="preserve">A5110536660</t>
  </si>
  <si>
    <t xml:space="preserve">National University of Ireland, Maynooth</t>
  </si>
  <si>
    <t xml:space="preserve">A5003789745</t>
  </si>
  <si>
    <t xml:space="preserve">Cincinnati State Technical and Community College</t>
  </si>
  <si>
    <t xml:space="preserve">A5063910318</t>
  </si>
  <si>
    <t xml:space="preserve">Research Network (United States)</t>
  </si>
  <si>
    <t xml:space="preserve">A5102489414</t>
  </si>
  <si>
    <t xml:space="preserve">Lawrence Frank</t>
  </si>
  <si>
    <t xml:space="preserve">UC San Diego</t>
  </si>
  <si>
    <t xml:space="preserve">1993 University of Washington</t>
  </si>
  <si>
    <t xml:space="preserve">Lawrence D. Frank</t>
  </si>
  <si>
    <t xml:space="preserve">A5029816714</t>
  </si>
  <si>
    <t xml:space="preserve">University of California San Diego</t>
  </si>
  <si>
    <t xml:space="preserve">469</t>
  </si>
  <si>
    <t xml:space="preserve">Lawrence R. Frank</t>
  </si>
  <si>
    <t xml:space="preserve">A5090363793</t>
  </si>
  <si>
    <t xml:space="preserve">University of San Diego</t>
  </si>
  <si>
    <t xml:space="preserve">A5123614612</t>
  </si>
  <si>
    <t xml:space="preserve">A5050370041</t>
  </si>
  <si>
    <t xml:space="preserve">Frank Lawrence</t>
  </si>
  <si>
    <t xml:space="preserve">A5075483177</t>
  </si>
  <si>
    <t xml:space="preserve">Michigan State University</t>
  </si>
  <si>
    <t xml:space="preserve">Kathryn Frank</t>
  </si>
  <si>
    <t xml:space="preserve">University of Florida</t>
  </si>
  <si>
    <t xml:space="preserve">2009 Georgia Tech</t>
  </si>
  <si>
    <t xml:space="preserve">Kathryn I. Frank</t>
  </si>
  <si>
    <t xml:space="preserve">A5011556077</t>
  </si>
  <si>
    <t xml:space="preserve">633</t>
  </si>
  <si>
    <t xml:space="preserve">Kathryn M. Frank</t>
  </si>
  <si>
    <t xml:space="preserve">A5086101817</t>
  </si>
  <si>
    <t xml:space="preserve">Ivis Garcia</t>
  </si>
  <si>
    <t xml:space="preserve">Texas A&amp;M University</t>
  </si>
  <si>
    <t xml:space="preserve">2015 University of Illinois, Chicago</t>
  </si>
  <si>
    <t xml:space="preserve">Ivis García</t>
  </si>
  <si>
    <t xml:space="preserve">A5012652473</t>
  </si>
  <si>
    <t xml:space="preserve">Mitchell Institute</t>
  </si>
  <si>
    <t xml:space="preserve">379</t>
  </si>
  <si>
    <t xml:space="preserve">Ivis Garcia Zambrana</t>
  </si>
  <si>
    <t xml:space="preserve">A5091141937</t>
  </si>
  <si>
    <t xml:space="preserve">Ivis García Zambrana</t>
  </si>
  <si>
    <t xml:space="preserve">A5038589018</t>
  </si>
  <si>
    <t xml:space="preserve">Ivis Garcia-Zambrana</t>
  </si>
  <si>
    <t xml:space="preserve">A5085915518</t>
  </si>
  <si>
    <t xml:space="preserve">University of Utah</t>
  </si>
  <si>
    <t xml:space="preserve">Ivis GarcÍa Zambrana</t>
  </si>
  <si>
    <t xml:space="preserve">A5028380083</t>
  </si>
  <si>
    <t xml:space="preserve">Ryan Gibson</t>
  </si>
  <si>
    <t xml:space="preserve">University of Guelph</t>
  </si>
  <si>
    <t xml:space="preserve">2014 Memorial University of Newfoundland</t>
  </si>
  <si>
    <t xml:space="preserve">A5040843105</t>
  </si>
  <si>
    <t xml:space="preserve">Creative Commons</t>
  </si>
  <si>
    <t xml:space="preserve">653</t>
  </si>
  <si>
    <t xml:space="preserve">Ryan Colin Gibson</t>
  </si>
  <si>
    <t xml:space="preserve">A5035631537</t>
  </si>
  <si>
    <t xml:space="preserve">University of Strathclyde</t>
  </si>
  <si>
    <t xml:space="preserve">A5120149859</t>
  </si>
  <si>
    <t xml:space="preserve">A5131386469</t>
  </si>
  <si>
    <t xml:space="preserve">A5132550223</t>
  </si>
  <si>
    <t xml:space="preserve">John Gilderbloom</t>
  </si>
  <si>
    <t xml:space="preserve">University of Louisville</t>
  </si>
  <si>
    <t xml:space="preserve">1983 UCSB</t>
  </si>
  <si>
    <t xml:space="preserve">John I. Gilderbloom</t>
  </si>
  <si>
    <t xml:space="preserve">A5111722608</t>
  </si>
  <si>
    <t xml:space="preserve">705</t>
  </si>
  <si>
    <t xml:space="preserve">John Hans Gilderbloom</t>
  </si>
  <si>
    <t xml:space="preserve">A5112572605</t>
  </si>
  <si>
    <t xml:space="preserve">‘Hans’ John I. Gilderbloom</t>
  </si>
  <si>
    <t xml:space="preserve">A5018318111</t>
  </si>
  <si>
    <t xml:space="preserve">John Ingram Gilderbloom</t>
  </si>
  <si>
    <t xml:space="preserve">A5108214588</t>
  </si>
  <si>
    <t xml:space="preserve">A5098074329</t>
  </si>
  <si>
    <t xml:space="preserve">Richard Green</t>
  </si>
  <si>
    <t xml:space="preserve">USC</t>
  </si>
  <si>
    <t xml:space="preserve">1990 University of Wisconsin, Madison</t>
  </si>
  <si>
    <t xml:space="preserve">A5100730171</t>
  </si>
  <si>
    <t xml:space="preserve">University of Surrey</t>
  </si>
  <si>
    <t xml:space="preserve">984</t>
  </si>
  <si>
    <t xml:space="preserve">Richard K. Green</t>
  </si>
  <si>
    <t xml:space="preserve">A5070661987</t>
  </si>
  <si>
    <t xml:space="preserve">University of Southern California</t>
  </si>
  <si>
    <t xml:space="preserve">A5100730175</t>
  </si>
  <si>
    <t xml:space="preserve">Richard C. Green</t>
  </si>
  <si>
    <t xml:space="preserve">A5002623954</t>
  </si>
  <si>
    <t xml:space="preserve">RICHARD GREEN</t>
  </si>
  <si>
    <t xml:space="preserve">A5017538954</t>
  </si>
  <si>
    <t xml:space="preserve">Andrew Guthrie</t>
  </si>
  <si>
    <t xml:space="preserve">A5060300040</t>
  </si>
  <si>
    <t xml:space="preserve">IQM (Finland)</t>
  </si>
  <si>
    <t xml:space="preserve">754</t>
  </si>
  <si>
    <t xml:space="preserve">Andrew Guthrie Ferguson</t>
  </si>
  <si>
    <t xml:space="preserve">A5028412388</t>
  </si>
  <si>
    <t xml:space="preserve">Andrew D. Guthrie</t>
  </si>
  <si>
    <t xml:space="preserve">A5041767483</t>
  </si>
  <si>
    <t xml:space="preserve">A5066709369</t>
  </si>
  <si>
    <t xml:space="preserve">A5108332138</t>
  </si>
  <si>
    <t xml:space="preserve">George Washington University</t>
  </si>
  <si>
    <t xml:space="preserve">Elisabeth Hamin</t>
  </si>
  <si>
    <t xml:space="preserve">University of Massachusetts-Amherst</t>
  </si>
  <si>
    <t xml:space="preserve">1997 University of Pennsylvania</t>
  </si>
  <si>
    <t xml:space="preserve">Elisabeth M. Hamin</t>
  </si>
  <si>
    <t xml:space="preserve">A5014893377</t>
  </si>
  <si>
    <t xml:space="preserve">University of Massachusetts Amherst</t>
  </si>
  <si>
    <t xml:space="preserve">736</t>
  </si>
  <si>
    <t xml:space="preserve">Elisabeth Hamin Infield</t>
  </si>
  <si>
    <t xml:space="preserve">A5058981502</t>
  </si>
  <si>
    <t xml:space="preserve">Elisabeth M. Hamin Infield</t>
  </si>
  <si>
    <t xml:space="preserve">A5064250082</t>
  </si>
  <si>
    <t xml:space="preserve">John Hasse</t>
  </si>
  <si>
    <t xml:space="preserve">Rowan University</t>
  </si>
  <si>
    <t xml:space="preserve">2002 Rutgers University</t>
  </si>
  <si>
    <t xml:space="preserve">A5087750858</t>
  </si>
  <si>
    <t xml:space="preserve">315</t>
  </si>
  <si>
    <t xml:space="preserve">John Edward Hasse</t>
  </si>
  <si>
    <t xml:space="preserve">A5005304859</t>
  </si>
  <si>
    <t xml:space="preserve">John J. Hasse</t>
  </si>
  <si>
    <t xml:space="preserve">A5015119426</t>
  </si>
  <si>
    <t xml:space="preserve">New York State Department of Environmental Conservation</t>
  </si>
  <si>
    <t xml:space="preserve">A5116471150</t>
  </si>
  <si>
    <t xml:space="preserve">A5116538398</t>
  </si>
  <si>
    <t xml:space="preserve">Paul Hess</t>
  </si>
  <si>
    <t xml:space="preserve">2001 University of Washington</t>
  </si>
  <si>
    <t xml:space="preserve">A5043515180</t>
  </si>
  <si>
    <t xml:space="preserve">910</t>
  </si>
  <si>
    <t xml:space="preserve">A5123856103</t>
  </si>
  <si>
    <t xml:space="preserve">A5078021209</t>
  </si>
  <si>
    <t xml:space="preserve">Paul L. Hess</t>
  </si>
  <si>
    <t xml:space="preserve">A5066767326</t>
  </si>
  <si>
    <t xml:space="preserve">Joint Commission</t>
  </si>
  <si>
    <t xml:space="preserve">A5133631328</t>
  </si>
  <si>
    <t xml:space="preserve">Andy Hong</t>
  </si>
  <si>
    <t xml:space="preserve">2016 USC</t>
  </si>
  <si>
    <t xml:space="preserve">A5072738115</t>
  </si>
  <si>
    <t xml:space="preserve">922</t>
  </si>
  <si>
    <t xml:space="preserve">A5103164441</t>
  </si>
  <si>
    <t xml:space="preserve">A5139487858</t>
  </si>
  <si>
    <t xml:space="preserve">Andy Pui-Kwan Hong</t>
  </si>
  <si>
    <t xml:space="preserve">A5103499585</t>
  </si>
  <si>
    <t xml:space="preserve">Pui-Kwan Andy Hong</t>
  </si>
  <si>
    <t xml:space="preserve">A5022136627</t>
  </si>
  <si>
    <t xml:space="preserve">David Howell</t>
  </si>
  <si>
    <t xml:space="preserve">The New School</t>
  </si>
  <si>
    <t xml:space="preserve">1982 New School for Social Research</t>
  </si>
  <si>
    <t xml:space="preserve">A5002461086</t>
  </si>
  <si>
    <t xml:space="preserve">403</t>
  </si>
  <si>
    <t xml:space="preserve">A5050807378</t>
  </si>
  <si>
    <t xml:space="preserve">David R. Howell</t>
  </si>
  <si>
    <t xml:space="preserve">A5030467226</t>
  </si>
  <si>
    <t xml:space="preserve">Children's Hospital Colorado</t>
  </si>
  <si>
    <t xml:space="preserve">David L. Howell</t>
  </si>
  <si>
    <t xml:space="preserve">A5103372599</t>
  </si>
  <si>
    <t xml:space="preserve">David W. Howell</t>
  </si>
  <si>
    <t xml:space="preserve">A5083549872</t>
  </si>
  <si>
    <t xml:space="preserve">Kathryn Howell</t>
  </si>
  <si>
    <t xml:space="preserve">University of Maryland</t>
  </si>
  <si>
    <t xml:space="preserve">2013 University of Texas, Austin</t>
  </si>
  <si>
    <t xml:space="preserve">A5040452720</t>
  </si>
  <si>
    <t xml:space="preserve">University of Maryland, College Park</t>
  </si>
  <si>
    <t xml:space="preserve">724</t>
  </si>
  <si>
    <t xml:space="preserve">A5103569525</t>
  </si>
  <si>
    <t xml:space="preserve">Kathryn Howell Benjamin F. Teresa</t>
  </si>
  <si>
    <t xml:space="preserve">A5061495539</t>
  </si>
  <si>
    <t xml:space="preserve">A5117403225</t>
  </si>
  <si>
    <t xml:space="preserve">Kathryn L. Howell</t>
  </si>
  <si>
    <t xml:space="preserve">A5144367400</t>
  </si>
  <si>
    <t xml:space="preserve">David Hsu</t>
  </si>
  <si>
    <t xml:space="preserve">MIT</t>
  </si>
  <si>
    <t xml:space="preserve">2010 University of Washington</t>
  </si>
  <si>
    <t xml:space="preserve">A5101962232</t>
  </si>
  <si>
    <t xml:space="preserve">Stanford University</t>
  </si>
  <si>
    <t xml:space="preserve">221</t>
  </si>
  <si>
    <t xml:space="preserve">A5041838340</t>
  </si>
  <si>
    <t xml:space="preserve">National University of Singapore</t>
  </si>
  <si>
    <t xml:space="preserve">David H. Hsu</t>
  </si>
  <si>
    <t xml:space="preserve">A5058431820</t>
  </si>
  <si>
    <t xml:space="preserve">David T. Hsu</t>
  </si>
  <si>
    <t xml:space="preserve">A5103711028</t>
  </si>
  <si>
    <t xml:space="preserve">Eloxx Pharmaceuticals (United States)</t>
  </si>
  <si>
    <t xml:space="preserve">David S. Y. Hsu</t>
  </si>
  <si>
    <t xml:space="preserve">A5102855398</t>
  </si>
  <si>
    <t xml:space="preserve">Ruihong Huang</t>
  </si>
  <si>
    <t xml:space="preserve">Northern Arizona University</t>
  </si>
  <si>
    <t xml:space="preserve">2003 University of Wisconsin, Milwaukee</t>
  </si>
  <si>
    <t xml:space="preserve">A5042499634</t>
  </si>
  <si>
    <t xml:space="preserve">275</t>
  </si>
  <si>
    <t xml:space="preserve">A5110051911</t>
  </si>
  <si>
    <t xml:space="preserve">A5101688217</t>
  </si>
  <si>
    <t xml:space="preserve">A5101632495</t>
  </si>
  <si>
    <t xml:space="preserve">The University of Melbourne</t>
  </si>
  <si>
    <t xml:space="preserve">A5144059648</t>
  </si>
  <si>
    <t xml:space="preserve">Fujian Medical University</t>
  </si>
  <si>
    <t xml:space="preserve">James Hughes</t>
  </si>
  <si>
    <t xml:space="preserve">Rutgers University</t>
  </si>
  <si>
    <t xml:space="preserve">1999 Rutgers University</t>
  </si>
  <si>
    <t xml:space="preserve">James W. Hughes</t>
  </si>
  <si>
    <t xml:space="preserve">A5039329208</t>
  </si>
  <si>
    <t xml:space="preserve">Candiolo Cancer Institute</t>
  </si>
  <si>
    <t xml:space="preserve">324</t>
  </si>
  <si>
    <t xml:space="preserve">James M. Hughes</t>
  </si>
  <si>
    <t xml:space="preserve">A5102858836</t>
  </si>
  <si>
    <t xml:space="preserve">University College London</t>
  </si>
  <si>
    <t xml:space="preserve">A5009822349</t>
  </si>
  <si>
    <t xml:space="preserve">Government of the United Kingdom</t>
  </si>
  <si>
    <t xml:space="preserve">James P. Hughes</t>
  </si>
  <si>
    <t xml:space="preserve">A5103475668</t>
  </si>
  <si>
    <t xml:space="preserve">A5111814031</t>
  </si>
  <si>
    <t xml:space="preserve">Andrew Jacobs</t>
  </si>
  <si>
    <t xml:space="preserve">East Carolina University</t>
  </si>
  <si>
    <t xml:space="preserve">1999 Michigan State University</t>
  </si>
  <si>
    <t xml:space="preserve">Andrew James Jacobs</t>
  </si>
  <si>
    <t xml:space="preserve">A5109588411</t>
  </si>
  <si>
    <t xml:space="preserve">94</t>
  </si>
  <si>
    <t xml:space="preserve">Andrew J. Jacobs</t>
  </si>
  <si>
    <t xml:space="preserve">A5052042990</t>
  </si>
  <si>
    <t xml:space="preserve">Andrew Tsay Jacobs</t>
  </si>
  <si>
    <t xml:space="preserve">A5056740709</t>
  </si>
  <si>
    <t xml:space="preserve">Andrew M. Jacobs</t>
  </si>
  <si>
    <t xml:space="preserve">A5004375416</t>
  </si>
  <si>
    <t xml:space="preserve">Ball State University</t>
  </si>
  <si>
    <t xml:space="preserve">A5109038619</t>
  </si>
  <si>
    <t xml:space="preserve">Radha Jagannathan</t>
  </si>
  <si>
    <t xml:space="preserve">1999 Princeton University</t>
  </si>
  <si>
    <t xml:space="preserve">A5090892405</t>
  </si>
  <si>
    <t xml:space="preserve">Rutgers, The State University of New Jersey</t>
  </si>
  <si>
    <t xml:space="preserve">326</t>
  </si>
  <si>
    <t xml:space="preserve">A5135449840</t>
  </si>
  <si>
    <t xml:space="preserve">A5098416747</t>
  </si>
  <si>
    <t xml:space="preserve">A5099254366</t>
  </si>
  <si>
    <t xml:space="preserve">A5129469963</t>
  </si>
  <si>
    <t xml:space="preserve">Bonnie Johnson</t>
  </si>
  <si>
    <t xml:space="preserve">University of Kansas</t>
  </si>
  <si>
    <t xml:space="preserve">2006 University of Kansas</t>
  </si>
  <si>
    <t xml:space="preserve">Bonnie W. Johnson</t>
  </si>
  <si>
    <t xml:space="preserve">A5103545550</t>
  </si>
  <si>
    <t xml:space="preserve">699</t>
  </si>
  <si>
    <t xml:space="preserve">A5062117067</t>
  </si>
  <si>
    <t xml:space="preserve">Bonnie McD. Johnson</t>
  </si>
  <si>
    <t xml:space="preserve">A5069414906</t>
  </si>
  <si>
    <t xml:space="preserve">University of Bonn</t>
  </si>
  <si>
    <t xml:space="preserve">BONNIE JOHNSON</t>
  </si>
  <si>
    <t xml:space="preserve">A5114240266</t>
  </si>
  <si>
    <t xml:space="preserve">University of Kentucky</t>
  </si>
  <si>
    <t xml:space="preserve">Bonnie G. P. Johnson</t>
  </si>
  <si>
    <t xml:space="preserve">A5056032868</t>
  </si>
  <si>
    <t xml:space="preserve">Towson University</t>
  </si>
  <si>
    <t xml:space="preserve">Anna Joo Kim</t>
  </si>
  <si>
    <t xml:space="preserve">San Diego State University</t>
  </si>
  <si>
    <t xml:space="preserve">2011 UCLA</t>
  </si>
  <si>
    <t xml:space="preserve">A5055528941</t>
  </si>
  <si>
    <t xml:space="preserve">349</t>
  </si>
  <si>
    <t xml:space="preserve">A5077230652</t>
  </si>
  <si>
    <t xml:space="preserve">A5075498743</t>
  </si>
  <si>
    <t xml:space="preserve">A5033514416</t>
  </si>
  <si>
    <t xml:space="preserve">Dawn Jourdan</t>
  </si>
  <si>
    <t xml:space="preserve">2004 Florida State University</t>
  </si>
  <si>
    <t xml:space="preserve">A5054358091</t>
  </si>
  <si>
    <t xml:space="preserve">727</t>
  </si>
  <si>
    <t xml:space="preserve">A5110812820</t>
  </si>
  <si>
    <t xml:space="preserve">University of Oklahoma</t>
  </si>
  <si>
    <t xml:space="preserve">Dawn E. Jourdan</t>
  </si>
  <si>
    <t xml:space="preserve">A5119826523</t>
  </si>
  <si>
    <t xml:space="preserve">A5108485822</t>
  </si>
  <si>
    <t xml:space="preserve">Nebraska Medical Center</t>
  </si>
  <si>
    <t xml:space="preserve">A5047806263</t>
  </si>
  <si>
    <t xml:space="preserve">Kevin Keenan</t>
  </si>
  <si>
    <t xml:space="preserve">2009 Clark University</t>
  </si>
  <si>
    <t xml:space="preserve">A5102775442</t>
  </si>
  <si>
    <t xml:space="preserve">317</t>
  </si>
  <si>
    <t xml:space="preserve">A5011146440</t>
  </si>
  <si>
    <t xml:space="preserve">A5122804207</t>
  </si>
  <si>
    <t xml:space="preserve">A5126601515</t>
  </si>
  <si>
    <t xml:space="preserve">Kevin L. Keenan</t>
  </si>
  <si>
    <t xml:space="preserve">A5065823641</t>
  </si>
  <si>
    <t xml:space="preserve">North Carolina Agricultural and Technical State University</t>
  </si>
  <si>
    <t xml:space="preserve">Annette Kim</t>
  </si>
  <si>
    <t xml:space="preserve">2002 UC Berkeley</t>
  </si>
  <si>
    <t xml:space="preserve">Annette M. Kim</t>
  </si>
  <si>
    <t xml:space="preserve">A5032597591</t>
  </si>
  <si>
    <t xml:space="preserve">986</t>
  </si>
  <si>
    <t xml:space="preserve">A5013470629</t>
  </si>
  <si>
    <t xml:space="preserve">A5086696069</t>
  </si>
  <si>
    <t xml:space="preserve">A5087102585</t>
  </si>
  <si>
    <t xml:space="preserve">Annette Miae Kim</t>
  </si>
  <si>
    <t xml:space="preserve">A5056267816</t>
  </si>
  <si>
    <t xml:space="preserve">Gerrit Knaap</t>
  </si>
  <si>
    <t xml:space="preserve">1982 University of Oregon</t>
  </si>
  <si>
    <t xml:space="preserve">A5108703329</t>
  </si>
  <si>
    <t xml:space="preserve">728</t>
  </si>
  <si>
    <t xml:space="preserve">Gerrit‐Jan Knaap</t>
  </si>
  <si>
    <t xml:space="preserve">A5024129069</t>
  </si>
  <si>
    <t xml:space="preserve">National Grid (United States)</t>
  </si>
  <si>
    <t xml:space="preserve">A5088634048</t>
  </si>
  <si>
    <t xml:space="preserve">A5106213581</t>
  </si>
  <si>
    <t xml:space="preserve">A5092538675</t>
  </si>
  <si>
    <t xml:space="preserve">Lucie Laurian</t>
  </si>
  <si>
    <t xml:space="preserve">University at Buffalo, The State University of New York</t>
  </si>
  <si>
    <t xml:space="preserve">2001 UNC</t>
  </si>
  <si>
    <t xml:space="preserve">A5043525503</t>
  </si>
  <si>
    <t xml:space="preserve">Buffalo State University</t>
  </si>
  <si>
    <t xml:space="preserve">553</t>
  </si>
  <si>
    <t xml:space="preserve">A5135876537</t>
  </si>
  <si>
    <t xml:space="preserve">University at Buffalo, State University of New York</t>
  </si>
  <si>
    <t xml:space="preserve">Laura Lawson</t>
  </si>
  <si>
    <t xml:space="preserve">Rutgers University, School of Environmental &amp; Biological Sciences</t>
  </si>
  <si>
    <t xml:space="preserve">2000 UC Berkeley</t>
  </si>
  <si>
    <t xml:space="preserve">A5109364562</t>
  </si>
  <si>
    <t xml:space="preserve">344</t>
  </si>
  <si>
    <t xml:space="preserve">Laura J. Lawson</t>
  </si>
  <si>
    <t xml:space="preserve">A5108433030</t>
  </si>
  <si>
    <t xml:space="preserve">Laura L. Lawson</t>
  </si>
  <si>
    <t xml:space="preserve">A5034761590</t>
  </si>
  <si>
    <t xml:space="preserve">Laura J Lawson</t>
  </si>
  <si>
    <t xml:space="preserve">A5093032611</t>
  </si>
  <si>
    <t xml:space="preserve">Laura Lawson Duval</t>
  </si>
  <si>
    <t xml:space="preserve">A5077738182</t>
  </si>
  <si>
    <t xml:space="preserve">Chanam Lee</t>
  </si>
  <si>
    <t xml:space="preserve">2004 University of Washington</t>
  </si>
  <si>
    <t xml:space="preserve">A5069840768</t>
  </si>
  <si>
    <t xml:space="preserve">Texas A&amp;M University System</t>
  </si>
  <si>
    <t xml:space="preserve">382</t>
  </si>
  <si>
    <t xml:space="preserve">A5033599214</t>
  </si>
  <si>
    <t xml:space="preserve">A5022812819</t>
  </si>
  <si>
    <t xml:space="preserve">A5126436565</t>
  </si>
  <si>
    <t xml:space="preserve">A5130394903</t>
  </si>
  <si>
    <t xml:space="preserve">Shujuan Li</t>
  </si>
  <si>
    <t xml:space="preserve">2009 Texas A&amp;M</t>
  </si>
  <si>
    <t xml:space="preserve">A5100631612</t>
  </si>
  <si>
    <t xml:space="preserve">South China Agricultural University</t>
  </si>
  <si>
    <t xml:space="preserve">582</t>
  </si>
  <si>
    <t xml:space="preserve">A5100631615</t>
  </si>
  <si>
    <t xml:space="preserve">A5089786199</t>
  </si>
  <si>
    <t xml:space="preserve">China Meteorological Administration</t>
  </si>
  <si>
    <t xml:space="preserve">A5144367830</t>
  </si>
  <si>
    <t xml:space="preserve">Hubei University of Arts and Science</t>
  </si>
  <si>
    <t xml:space="preserve">A5100631618</t>
  </si>
  <si>
    <t xml:space="preserve">Nanjing Medical University</t>
  </si>
  <si>
    <t xml:space="preserve">Zhongjie Lin</t>
  </si>
  <si>
    <t xml:space="preserve">2005 University of Pennsylvania</t>
  </si>
  <si>
    <t xml:space="preserve">A5101845393</t>
  </si>
  <si>
    <t xml:space="preserve">Shenzhen Polytechnic University</t>
  </si>
  <si>
    <t xml:space="preserve">838</t>
  </si>
  <si>
    <t xml:space="preserve">A5144415074</t>
  </si>
  <si>
    <t xml:space="preserve">A5065330086</t>
  </si>
  <si>
    <t xml:space="preserve">Sir Run Run Shaw Hospital</t>
  </si>
  <si>
    <t xml:space="preserve">A5024110899</t>
  </si>
  <si>
    <t xml:space="preserve">Hangzhou Dianzi University</t>
  </si>
  <si>
    <t xml:space="preserve">A5103852499</t>
  </si>
  <si>
    <t xml:space="preserve">Columbia University</t>
  </si>
  <si>
    <t xml:space="preserve">David Lopez-Garcia</t>
  </si>
  <si>
    <t xml:space="preserve">2021 The New School</t>
  </si>
  <si>
    <t xml:space="preserve">David López-García</t>
  </si>
  <si>
    <t xml:space="preserve">A5063715451</t>
  </si>
  <si>
    <t xml:space="preserve">Urbana University</t>
  </si>
  <si>
    <t xml:space="preserve">672</t>
  </si>
  <si>
    <t xml:space="preserve">David López García</t>
  </si>
  <si>
    <t xml:space="preserve">A5103912562</t>
  </si>
  <si>
    <t xml:space="preserve">A5073272796</t>
  </si>
  <si>
    <t xml:space="preserve">Dirección de Investigación y Desarrollo</t>
  </si>
  <si>
    <t xml:space="preserve">Ginés David López-García</t>
  </si>
  <si>
    <t xml:space="preserve">A5031770822</t>
  </si>
  <si>
    <t xml:space="preserve">University of Almería</t>
  </si>
  <si>
    <t xml:space="preserve">A5030528397</t>
  </si>
  <si>
    <t xml:space="preserve">Ward Lyles</t>
  </si>
  <si>
    <t xml:space="preserve">2012 University of North Carolina, Chapel Hill</t>
  </si>
  <si>
    <t xml:space="preserve">A5076390873</t>
  </si>
  <si>
    <t xml:space="preserve">Institute for Urban Indigenous Health</t>
  </si>
  <si>
    <t xml:space="preserve">700</t>
  </si>
  <si>
    <t xml:space="preserve">Lindsey Ward Lyles</t>
  </si>
  <si>
    <t xml:space="preserve">A5008947138</t>
  </si>
  <si>
    <t xml:space="preserve">Elizabeth Macdonald</t>
  </si>
  <si>
    <t xml:space="preserve">1999 UC Berkeley</t>
  </si>
  <si>
    <t xml:space="preserve">A5102909263</t>
  </si>
  <si>
    <t xml:space="preserve">444</t>
  </si>
  <si>
    <t xml:space="preserve">A5101055648</t>
  </si>
  <si>
    <t xml:space="preserve">Elizabeth MacDonald</t>
  </si>
  <si>
    <t xml:space="preserve">A5007842788</t>
  </si>
  <si>
    <t xml:space="preserve">Twitter (United States)</t>
  </si>
  <si>
    <t xml:space="preserve">Elizabeth C. MacDonald</t>
  </si>
  <si>
    <t xml:space="preserve">A5032022046</t>
  </si>
  <si>
    <t xml:space="preserve">University of British Columbia</t>
  </si>
  <si>
    <t xml:space="preserve">A5046532067</t>
  </si>
  <si>
    <t xml:space="preserve">Norwegian Institute of Public Health</t>
  </si>
  <si>
    <t xml:space="preserve">Patricia Manuel</t>
  </si>
  <si>
    <t xml:space="preserve">Dalhousie University</t>
  </si>
  <si>
    <t xml:space="preserve">1992 Dalhousie University</t>
  </si>
  <si>
    <t xml:space="preserve">Patricia M. Manuel</t>
  </si>
  <si>
    <t xml:space="preserve">A5113715971</t>
  </si>
  <si>
    <t xml:space="preserve">89</t>
  </si>
  <si>
    <t xml:space="preserve">A5114112612</t>
  </si>
  <si>
    <t xml:space="preserve">A5076164394</t>
  </si>
  <si>
    <t xml:space="preserve">Patricia C. Manuel</t>
  </si>
  <si>
    <t xml:space="preserve">A5042617867</t>
  </si>
  <si>
    <t xml:space="preserve">University of Santo Tomas</t>
  </si>
  <si>
    <t xml:space="preserve">Patrícia Manuel Ribeiro Machado</t>
  </si>
  <si>
    <t xml:space="preserve">A5050753150</t>
  </si>
  <si>
    <t xml:space="preserve">Richard Matthew</t>
  </si>
  <si>
    <t xml:space="preserve">UC Irvine</t>
  </si>
  <si>
    <t xml:space="preserve">1993 Princeton University</t>
  </si>
  <si>
    <t xml:space="preserve">Richard A. Matthew</t>
  </si>
  <si>
    <t xml:space="preserve">A5000100837</t>
  </si>
  <si>
    <t xml:space="preserve">University of California, Irvine</t>
  </si>
  <si>
    <t xml:space="preserve">457</t>
  </si>
  <si>
    <t xml:space="preserve">A5060058822</t>
  </si>
  <si>
    <t xml:space="preserve">A5097564375</t>
  </si>
  <si>
    <t xml:space="preserve">Richard A Matthew</t>
  </si>
  <si>
    <t xml:space="preserve">A5110941176</t>
  </si>
  <si>
    <t xml:space="preserve">UC Irvine Health</t>
  </si>
  <si>
    <t xml:space="preserve">Richard Matthew Pollard</t>
  </si>
  <si>
    <t xml:space="preserve">A5054730731</t>
  </si>
  <si>
    <t xml:space="preserve">Université du Québec à Montréal</t>
  </si>
  <si>
    <t xml:space="preserve">Tara McGee</t>
  </si>
  <si>
    <t xml:space="preserve">1996 Australian National University</t>
  </si>
  <si>
    <t xml:space="preserve">Tara K. McGee</t>
  </si>
  <si>
    <t xml:space="preserve">A5069035042</t>
  </si>
  <si>
    <t xml:space="preserve">572</t>
  </si>
  <si>
    <t xml:space="preserve">Tara Renae McGee</t>
  </si>
  <si>
    <t xml:space="preserve">A5069888854</t>
  </si>
  <si>
    <t xml:space="preserve">Australian Institute of Criminology</t>
  </si>
  <si>
    <t xml:space="preserve">A5128821750</t>
  </si>
  <si>
    <t xml:space="preserve">Griffith University</t>
  </si>
  <si>
    <t xml:space="preserve">Tara Kathleen McGee</t>
  </si>
  <si>
    <t xml:space="preserve">A5109002786</t>
  </si>
  <si>
    <t xml:space="preserve">Tara R. McGee</t>
  </si>
  <si>
    <t xml:space="preserve">A5139333029</t>
  </si>
  <si>
    <t xml:space="preserve">Vikas Mehta</t>
  </si>
  <si>
    <t xml:space="preserve">University of Cincinnati</t>
  </si>
  <si>
    <t xml:space="preserve">2006 University of Maryland</t>
  </si>
  <si>
    <t xml:space="preserve">A5021295764</t>
  </si>
  <si>
    <t xml:space="preserve">Montefiore Medical Center</t>
  </si>
  <si>
    <t xml:space="preserve">616</t>
  </si>
  <si>
    <t xml:space="preserve">A5114025101</t>
  </si>
  <si>
    <t xml:space="preserve">System Planning Corporation (United States)</t>
  </si>
  <si>
    <t xml:space="preserve">A5025676060</t>
  </si>
  <si>
    <t xml:space="preserve">Northwestern University</t>
  </si>
  <si>
    <t xml:space="preserve">A5092785614</t>
  </si>
  <si>
    <t xml:space="preserve">A5099588342</t>
  </si>
  <si>
    <t xml:space="preserve">Diana Mitsova</t>
  </si>
  <si>
    <t xml:space="preserve">Florida Atlantic University</t>
  </si>
  <si>
    <t xml:space="preserve">2008 University of Cincinnati</t>
  </si>
  <si>
    <t xml:space="preserve">A5034151265</t>
  </si>
  <si>
    <t xml:space="preserve">Atlantic University</t>
  </si>
  <si>
    <t xml:space="preserve">106</t>
  </si>
  <si>
    <t xml:space="preserve">Diana Mitsova-Boneva</t>
  </si>
  <si>
    <t xml:space="preserve">A5079995250</t>
  </si>
  <si>
    <t xml:space="preserve">A5135611312</t>
  </si>
  <si>
    <t xml:space="preserve">Diana Mitsova‐Boneva</t>
  </si>
  <si>
    <t xml:space="preserve">A5071357029</t>
  </si>
  <si>
    <t xml:space="preserve">Alfonso Morales</t>
  </si>
  <si>
    <t xml:space="preserve">University of Wisconsin, Madison</t>
  </si>
  <si>
    <t xml:space="preserve">1993 Northwestern University</t>
  </si>
  <si>
    <t xml:space="preserve">A5107991235</t>
  </si>
  <si>
    <t xml:space="preserve">970</t>
  </si>
  <si>
    <t xml:space="preserve">Alfonso J. Rodríguez‐Morales</t>
  </si>
  <si>
    <t xml:space="preserve">A5033642008</t>
  </si>
  <si>
    <t xml:space="preserve">Universidad Científica del Sur</t>
  </si>
  <si>
    <t xml:space="preserve">Alfonso Carlos Morales Gutiérrez</t>
  </si>
  <si>
    <t xml:space="preserve">A5112004665</t>
  </si>
  <si>
    <t xml:space="preserve">University of Córdoba</t>
  </si>
  <si>
    <t xml:space="preserve">Wilfredo Alfonso-Morales</t>
  </si>
  <si>
    <t xml:space="preserve">A5060730140</t>
  </si>
  <si>
    <t xml:space="preserve">Universidad del Valle</t>
  </si>
  <si>
    <t xml:space="preserve">Alfonso Morales Gil</t>
  </si>
  <si>
    <t xml:space="preserve">A5032985621</t>
  </si>
  <si>
    <t xml:space="preserve">Jean Morin</t>
  </si>
  <si>
    <t xml:space="preserve">2001 INRS (Institut national de la recherche scientifique)</t>
  </si>
  <si>
    <t xml:space="preserve">Jean‐Frédéric Morin</t>
  </si>
  <si>
    <t xml:space="preserve">A5058440390</t>
  </si>
  <si>
    <t xml:space="preserve">543</t>
  </si>
  <si>
    <t xml:space="preserve">A5028996004</t>
  </si>
  <si>
    <t xml:space="preserve">Centre Hospitalier Universitaire de Nantes</t>
  </si>
  <si>
    <t xml:space="preserve">Jean‐François Morin</t>
  </si>
  <si>
    <t xml:space="preserve">A5025383209</t>
  </si>
  <si>
    <t xml:space="preserve">Laboratoire des Matériaux Avancés</t>
  </si>
  <si>
    <t xml:space="preserve">Jean‐Philippe Morin</t>
  </si>
  <si>
    <t xml:space="preserve">A5063513141</t>
  </si>
  <si>
    <t xml:space="preserve">Jean‐Paul Morin</t>
  </si>
  <si>
    <t xml:space="preserve">A5109984724</t>
  </si>
  <si>
    <t xml:space="preserve">Paul Ong</t>
  </si>
  <si>
    <t xml:space="preserve">1983 UC Berkeley</t>
  </si>
  <si>
    <t xml:space="preserve">A5110737977</t>
  </si>
  <si>
    <t xml:space="preserve">497</t>
  </si>
  <si>
    <t xml:space="preserve">A5075980835</t>
  </si>
  <si>
    <t xml:space="preserve">World Health Organization - Pakistan</t>
  </si>
  <si>
    <t xml:space="preserve">Paul M. Ong</t>
  </si>
  <si>
    <t xml:space="preserve">A5103184876</t>
  </si>
  <si>
    <t xml:space="preserve">A5078332994</t>
  </si>
  <si>
    <t xml:space="preserve">A5081169713</t>
  </si>
  <si>
    <t xml:space="preserve">Daniel O’Brien</t>
  </si>
  <si>
    <t xml:space="preserve">2010 Binghamton University</t>
  </si>
  <si>
    <t xml:space="preserve">Daniel T. O’Brien</t>
  </si>
  <si>
    <t xml:space="preserve">A5083670541</t>
  </si>
  <si>
    <t xml:space="preserve">Universidad del Noreste</t>
  </si>
  <si>
    <t xml:space="preserve">265</t>
  </si>
  <si>
    <t xml:space="preserve">A5101399398</t>
  </si>
  <si>
    <t xml:space="preserve">TH Köln - University of Applied Sciences</t>
  </si>
  <si>
    <t xml:space="preserve">Daniel M. O’Brien</t>
  </si>
  <si>
    <t xml:space="preserve">A5019976820</t>
  </si>
  <si>
    <t xml:space="preserve">Kansas State University</t>
  </si>
  <si>
    <t xml:space="preserve">Daniel T. O'Brien</t>
  </si>
  <si>
    <t xml:space="preserve">A5103413221</t>
  </si>
  <si>
    <t xml:space="preserve">A5094001875</t>
  </si>
  <si>
    <t xml:space="preserve">Futures Group (United States)</t>
  </si>
  <si>
    <t xml:space="preserve">Qisheng Pan</t>
  </si>
  <si>
    <t xml:space="preserve">University of Texas, Arlington</t>
  </si>
  <si>
    <t xml:space="preserve">2003 USC</t>
  </si>
  <si>
    <t xml:space="preserve">A5083699253</t>
  </si>
  <si>
    <t xml:space="preserve">The University of Texas at Arlington</t>
  </si>
  <si>
    <t xml:space="preserve">880</t>
  </si>
  <si>
    <t xml:space="preserve">A5112746846</t>
  </si>
  <si>
    <t xml:space="preserve">A5147905953</t>
  </si>
  <si>
    <t xml:space="preserve">A5040267991</t>
  </si>
  <si>
    <t xml:space="preserve">Baker Heart and Diabetes Institute</t>
  </si>
  <si>
    <t xml:space="preserve">A5142971526</t>
  </si>
  <si>
    <t xml:space="preserve">JiYoung Park</t>
  </si>
  <si>
    <t xml:space="preserve">2007 USC</t>
  </si>
  <si>
    <t xml:space="preserve">Jiyoung Park</t>
  </si>
  <si>
    <t xml:space="preserve">A5100409598</t>
  </si>
  <si>
    <t xml:space="preserve">Seoul National University</t>
  </si>
  <si>
    <t xml:space="preserve">556</t>
  </si>
  <si>
    <t xml:space="preserve">A5100409607</t>
  </si>
  <si>
    <t xml:space="preserve">Duksung Women's University</t>
  </si>
  <si>
    <t xml:space="preserve">A5100409599</t>
  </si>
  <si>
    <t xml:space="preserve">Soongsil University</t>
  </si>
  <si>
    <t xml:space="preserve">A5100409602</t>
  </si>
  <si>
    <t xml:space="preserve">Inje University</t>
  </si>
  <si>
    <t xml:space="preserve">A5005359699</t>
  </si>
  <si>
    <t xml:space="preserve">Robert Patrick</t>
  </si>
  <si>
    <t xml:space="preserve">2007 University of Guelph</t>
  </si>
  <si>
    <t xml:space="preserve">A5016687100</t>
  </si>
  <si>
    <t xml:space="preserve">870</t>
  </si>
  <si>
    <t xml:space="preserve">Robert H. Patrick</t>
  </si>
  <si>
    <t xml:space="preserve">A5071550128</t>
  </si>
  <si>
    <t xml:space="preserve">Robert J. Patrick Hofmann</t>
  </si>
  <si>
    <t xml:space="preserve">A5039024938</t>
  </si>
  <si>
    <t xml:space="preserve">NOAA Earth System Research Laboratory</t>
  </si>
  <si>
    <t xml:space="preserve">Robert Patrick Knowles</t>
  </si>
  <si>
    <t xml:space="preserve">A5097578811</t>
  </si>
  <si>
    <t xml:space="preserve">Patrick Robert Edwards</t>
  </si>
  <si>
    <t xml:space="preserve">A5090611098</t>
  </si>
  <si>
    <t xml:space="preserve">Zhong-Ren Peng</t>
  </si>
  <si>
    <t xml:space="preserve">1994 Portland State University</t>
  </si>
  <si>
    <t xml:space="preserve">Zhong‐Ren Peng</t>
  </si>
  <si>
    <t xml:space="preserve">A5069439577</t>
  </si>
  <si>
    <t xml:space="preserve">Ajman University</t>
  </si>
  <si>
    <t xml:space="preserve">636</t>
  </si>
  <si>
    <t xml:space="preserve">A5113524330</t>
  </si>
  <si>
    <t xml:space="preserve">A5108208189</t>
  </si>
  <si>
    <t xml:space="preserve">Shanghai Jiao Tong University</t>
  </si>
  <si>
    <t xml:space="preserve">A5140932550</t>
  </si>
  <si>
    <t xml:space="preserve">Zhong-ren Peng</t>
  </si>
  <si>
    <t xml:space="preserve">A5039347448</t>
  </si>
  <si>
    <t xml:space="preserve">Brian Petersen</t>
  </si>
  <si>
    <t xml:space="preserve">2008 UC Santa Cruz</t>
  </si>
  <si>
    <t xml:space="preserve">A5101407319</t>
  </si>
  <si>
    <t xml:space="preserve">University of Manchester</t>
  </si>
  <si>
    <t xml:space="preserve">276</t>
  </si>
  <si>
    <t xml:space="preserve">A5081442837</t>
  </si>
  <si>
    <t xml:space="preserve">A5107882623</t>
  </si>
  <si>
    <t xml:space="preserve">A5107939696</t>
  </si>
  <si>
    <t xml:space="preserve">A5141338953</t>
  </si>
  <si>
    <t xml:space="preserve">Thi Thanh Hiên Pham</t>
  </si>
  <si>
    <t xml:space="preserve">University of Quebec in Montreal</t>
  </si>
  <si>
    <t xml:space="preserve">2009 University of Sherbrooke</t>
  </si>
  <si>
    <t xml:space="preserve">Thi‐Thanh‐Hiên Pham</t>
  </si>
  <si>
    <t xml:space="preserve">A5090849619</t>
  </si>
  <si>
    <t xml:space="preserve">863</t>
  </si>
  <si>
    <t xml:space="preserve">Thi-Thanh-Hiên Pham</t>
  </si>
  <si>
    <t xml:space="preserve">A5108457372</t>
  </si>
  <si>
    <t xml:space="preserve">THI‐THANH‐HIEN PHAM</t>
  </si>
  <si>
    <t xml:space="preserve">A5109889380</t>
  </si>
  <si>
    <t xml:space="preserve">A5126257565</t>
  </si>
  <si>
    <t xml:space="preserve">A5108771275</t>
  </si>
  <si>
    <t xml:space="preserve">Stephen Ramos</t>
  </si>
  <si>
    <t xml:space="preserve">University of Georgia</t>
  </si>
  <si>
    <t xml:space="preserve">2009 Harvard University</t>
  </si>
  <si>
    <t xml:space="preserve">Stephen J. Ramos</t>
  </si>
  <si>
    <t xml:space="preserve">A5039872829</t>
  </si>
  <si>
    <t xml:space="preserve">643</t>
  </si>
  <si>
    <t xml:space="preserve">Stephen D. Ramos</t>
  </si>
  <si>
    <t xml:space="preserve">A5020647583</t>
  </si>
  <si>
    <t xml:space="preserve">California State University System</t>
  </si>
  <si>
    <t xml:space="preserve">A5109518588</t>
  </si>
  <si>
    <t xml:space="preserve">Stephen Anthony Ramos</t>
  </si>
  <si>
    <t xml:space="preserve">A5042129498</t>
  </si>
  <si>
    <t xml:space="preserve">A5136889182</t>
  </si>
  <si>
    <t xml:space="preserve">California State University, San Bernardino</t>
  </si>
  <si>
    <t xml:space="preserve">Neil Reid</t>
  </si>
  <si>
    <t xml:space="preserve">University of Toledo</t>
  </si>
  <si>
    <t xml:space="preserve">1991 Arizona State University</t>
  </si>
  <si>
    <t xml:space="preserve">A5026651294</t>
  </si>
  <si>
    <t xml:space="preserve">Queen's University Belfast</t>
  </si>
  <si>
    <t xml:space="preserve">904</t>
  </si>
  <si>
    <t xml:space="preserve">A5069803763</t>
  </si>
  <si>
    <t xml:space="preserve">Universidade Federal do Paraná</t>
  </si>
  <si>
    <t xml:space="preserve">NEIL A. REID</t>
  </si>
  <si>
    <t xml:space="preserve">A5059016853</t>
  </si>
  <si>
    <t xml:space="preserve">University of Oxford</t>
  </si>
  <si>
    <t xml:space="preserve">A5119432478</t>
  </si>
  <si>
    <t xml:space="preserve">A5122699598</t>
  </si>
  <si>
    <t xml:space="preserve">Peter Rowe</t>
  </si>
  <si>
    <t xml:space="preserve">1986 Harvard University</t>
  </si>
  <si>
    <t xml:space="preserve">Peter G. Rowe</t>
  </si>
  <si>
    <t xml:space="preserve">A5045102391</t>
  </si>
  <si>
    <t xml:space="preserve">142</t>
  </si>
  <si>
    <t xml:space="preserve">Peter C. Rowe</t>
  </si>
  <si>
    <t xml:space="preserve">A5065852957</t>
  </si>
  <si>
    <t xml:space="preserve">Johns Hopkins University</t>
  </si>
  <si>
    <t xml:space="preserve">A5103598730</t>
  </si>
  <si>
    <t xml:space="preserve">University of Nottingham</t>
  </si>
  <si>
    <t xml:space="preserve">Peter M. Rowe</t>
  </si>
  <si>
    <t xml:space="preserve">A5007292986</t>
  </si>
  <si>
    <t xml:space="preserve">A5109033672</t>
  </si>
  <si>
    <t xml:space="preserve">North Yorkshire County Council</t>
  </si>
  <si>
    <t xml:space="preserve">Robert Schneider</t>
  </si>
  <si>
    <t xml:space="preserve">University of Wisconsin, Milwaukee</t>
  </si>
  <si>
    <t xml:space="preserve">2011 UC Berkeley</t>
  </si>
  <si>
    <t xml:space="preserve">Robert J. Schneider</t>
  </si>
  <si>
    <t xml:space="preserve">A5012023237</t>
  </si>
  <si>
    <t xml:space="preserve">University of Wisconsin–Milwaukee</t>
  </si>
  <si>
    <t xml:space="preserve">977</t>
  </si>
  <si>
    <t xml:space="preserve">A5103429978</t>
  </si>
  <si>
    <t xml:space="preserve">Centre National de la Recherche Scientifique</t>
  </si>
  <si>
    <t xml:space="preserve">A5071685655</t>
  </si>
  <si>
    <t xml:space="preserve">Université du Québec à Rimouski</t>
  </si>
  <si>
    <t xml:space="preserve">Robert A. Schneider</t>
  </si>
  <si>
    <t xml:space="preserve">A5110126660</t>
  </si>
  <si>
    <t xml:space="preserve">A5103363798</t>
  </si>
  <si>
    <t xml:space="preserve">Gavin Shatkin</t>
  </si>
  <si>
    <t xml:space="preserve">2001 Rutgers University</t>
  </si>
  <si>
    <t xml:space="preserve">A5110856923</t>
  </si>
  <si>
    <t xml:space="preserve">267</t>
  </si>
  <si>
    <t xml:space="preserve">A5067986618</t>
  </si>
  <si>
    <t xml:space="preserve">A5099288226</t>
  </si>
  <si>
    <t xml:space="preserve">A5099456481</t>
  </si>
  <si>
    <t xml:space="preserve">A5102038157</t>
  </si>
  <si>
    <t xml:space="preserve">Elizabeth Shay</t>
  </si>
  <si>
    <t xml:space="preserve">Appalachian State University</t>
  </si>
  <si>
    <t xml:space="preserve">A5064283770</t>
  </si>
  <si>
    <t xml:space="preserve">8</t>
  </si>
  <si>
    <t xml:space="preserve">A5080219283</t>
  </si>
  <si>
    <t xml:space="preserve">Indiana University – Purdue University Indianapolis</t>
  </si>
  <si>
    <t xml:space="preserve">Shay Elizabeth</t>
  </si>
  <si>
    <t xml:space="preserve">A5149467602</t>
  </si>
  <si>
    <t xml:space="preserve">Elizabeth S. Moore-Shay</t>
  </si>
  <si>
    <t xml:space="preserve">A5034433344</t>
  </si>
  <si>
    <t xml:space="preserve">Elizabeth A. Shay</t>
  </si>
  <si>
    <t xml:space="preserve">A5053351129</t>
  </si>
  <si>
    <t xml:space="preserve">University of Rochester</t>
  </si>
  <si>
    <t xml:space="preserve">Yan Song</t>
  </si>
  <si>
    <t xml:space="preserve">UNC</t>
  </si>
  <si>
    <t xml:space="preserve">2002 University of Illinois, Urbana-Champaign</t>
  </si>
  <si>
    <t xml:space="preserve">A5077128086</t>
  </si>
  <si>
    <t xml:space="preserve">University of North Carolina at Chapel Hill</t>
  </si>
  <si>
    <t xml:space="preserve">516</t>
  </si>
  <si>
    <t xml:space="preserve">A5100639584</t>
  </si>
  <si>
    <t xml:space="preserve">Xidian University</t>
  </si>
  <si>
    <t xml:space="preserve">A5103012789</t>
  </si>
  <si>
    <t xml:space="preserve">Nanjing Tech University</t>
  </si>
  <si>
    <t xml:space="preserve">A5023780556</t>
  </si>
  <si>
    <t xml:space="preserve">A5100381758</t>
  </si>
  <si>
    <t xml:space="preserve">China University of Geosciences</t>
  </si>
  <si>
    <t xml:space="preserve">Ruth Steiner</t>
  </si>
  <si>
    <t xml:space="preserve">1996 UC Berkeley</t>
  </si>
  <si>
    <t xml:space="preserve">A5022609719</t>
  </si>
  <si>
    <t xml:space="preserve">637</t>
  </si>
  <si>
    <t xml:space="preserve">A5078396297</t>
  </si>
  <si>
    <t xml:space="preserve">A5110794040</t>
  </si>
  <si>
    <t xml:space="preserve">Ruth E. Fleury‐Steiner</t>
  </si>
  <si>
    <t xml:space="preserve">A5016800254</t>
  </si>
  <si>
    <t xml:space="preserve">University of Delaware</t>
  </si>
  <si>
    <t xml:space="preserve">Ruth L. Steiner</t>
  </si>
  <si>
    <t xml:space="preserve">A5096878458</t>
  </si>
  <si>
    <t xml:space="preserve">Michael Storper</t>
  </si>
  <si>
    <t xml:space="preserve">1982 UC Berkeley</t>
  </si>
  <si>
    <t xml:space="preserve">A5029049026</t>
  </si>
  <si>
    <t xml:space="preserve">500</t>
  </si>
  <si>
    <t xml:space="preserve">A5108377123</t>
  </si>
  <si>
    <t xml:space="preserve">A5104991924</t>
  </si>
  <si>
    <t xml:space="preserve">A5127296837</t>
  </si>
  <si>
    <t xml:space="preserve">A5097004501</t>
  </si>
  <si>
    <t xml:space="preserve">Feiyang Sun</t>
  </si>
  <si>
    <t xml:space="preserve">2021 University of Washington</t>
  </si>
  <si>
    <t xml:space="preserve">A5100546700</t>
  </si>
  <si>
    <t xml:space="preserve">Qingdao University of Science and Technology</t>
  </si>
  <si>
    <t xml:space="preserve">479</t>
  </si>
  <si>
    <t xml:space="preserve">A5145954767</t>
  </si>
  <si>
    <t xml:space="preserve">A5024860149</t>
  </si>
  <si>
    <t xml:space="preserve">A5061742737</t>
  </si>
  <si>
    <t xml:space="preserve">Jilin University</t>
  </si>
  <si>
    <t xml:space="preserve">A5140812536</t>
  </si>
  <si>
    <t xml:space="preserve">University of South China</t>
  </si>
  <si>
    <t xml:space="preserve">Elizabeth Sweet</t>
  </si>
  <si>
    <t xml:space="preserve">2008 Northwestern University</t>
  </si>
  <si>
    <t xml:space="preserve">Elizabeth L. Sweet</t>
  </si>
  <si>
    <t xml:space="preserve">A5077973893</t>
  </si>
  <si>
    <t xml:space="preserve">749</t>
  </si>
  <si>
    <t xml:space="preserve">A5032618838</t>
  </si>
  <si>
    <t xml:space="preserve">ELIZABETH SWEET</t>
  </si>
  <si>
    <t xml:space="preserve">A5074463751</t>
  </si>
  <si>
    <t xml:space="preserve">Duke University</t>
  </si>
  <si>
    <t xml:space="preserve">A5148955590</t>
  </si>
  <si>
    <t xml:space="preserve">Elizabeth V. Sweet</t>
  </si>
  <si>
    <t xml:space="preserve">A5020207079</t>
  </si>
  <si>
    <t xml:space="preserve">California State University, Sacramento</t>
  </si>
  <si>
    <t xml:space="preserve">Gary Taylor</t>
  </si>
  <si>
    <t xml:space="preserve">Iowa State University</t>
  </si>
  <si>
    <t xml:space="preserve">1988 University of Nebraska</t>
  </si>
  <si>
    <t xml:space="preserve">A5101800566</t>
  </si>
  <si>
    <t xml:space="preserve">168</t>
  </si>
  <si>
    <t xml:space="preserve">A5054172850</t>
  </si>
  <si>
    <t xml:space="preserve">The University of Texas Health Science Center</t>
  </si>
  <si>
    <t xml:space="preserve">A5109952224</t>
  </si>
  <si>
    <t xml:space="preserve">Gary R. J. Taylor</t>
  </si>
  <si>
    <t xml:space="preserve">A5071715441</t>
  </si>
  <si>
    <t xml:space="preserve">University of Reading</t>
  </si>
  <si>
    <t xml:space="preserve">A5049797977</t>
  </si>
  <si>
    <t xml:space="preserve">Brian Taylor</t>
  </si>
  <si>
    <t xml:space="preserve">1992 UCLA</t>
  </si>
  <si>
    <t xml:space="preserve">Brian D. Taylor</t>
  </si>
  <si>
    <t xml:space="preserve">A5075588005</t>
  </si>
  <si>
    <t xml:space="preserve">University of California System</t>
  </si>
  <si>
    <t xml:space="preserve">501</t>
  </si>
  <si>
    <t xml:space="preserve">A5033610800</t>
  </si>
  <si>
    <t xml:space="preserve">The University of Texas MD Anderson Cancer Center</t>
  </si>
  <si>
    <t xml:space="preserve">Brian F. Taylor</t>
  </si>
  <si>
    <t xml:space="preserve">A5102095993</t>
  </si>
  <si>
    <t xml:space="preserve">Brian Taylor Slingsby</t>
  </si>
  <si>
    <t xml:space="preserve">A5015513311</t>
  </si>
  <si>
    <t xml:space="preserve">Brian J. Taylor</t>
  </si>
  <si>
    <t xml:space="preserve">A5034724649</t>
  </si>
  <si>
    <t xml:space="preserve">Ward Thomas</t>
  </si>
  <si>
    <t xml:space="preserve">California State University, Northridge</t>
  </si>
  <si>
    <t xml:space="preserve">1997 UCLA</t>
  </si>
  <si>
    <t xml:space="preserve">A5056647659</t>
  </si>
  <si>
    <t xml:space="preserve">54</t>
  </si>
  <si>
    <t xml:space="preserve">A5104044075</t>
  </si>
  <si>
    <t xml:space="preserve">Thomas Ward</t>
  </si>
  <si>
    <t xml:space="preserve">A5007430689</t>
  </si>
  <si>
    <t xml:space="preserve">Film Independent</t>
  </si>
  <si>
    <t xml:space="preserve">A5036498218</t>
  </si>
  <si>
    <t xml:space="preserve">Thomas W. Ward</t>
  </si>
  <si>
    <t xml:space="preserve">A5028803128</t>
  </si>
  <si>
    <t xml:space="preserve">Creighton University</t>
  </si>
  <si>
    <t xml:space="preserve">Isabelle Thomas</t>
  </si>
  <si>
    <t xml:space="preserve">Universite de Montreal</t>
  </si>
  <si>
    <t xml:space="preserve">2004 Université de Paris IV- Sorbonne, France</t>
  </si>
  <si>
    <t xml:space="preserve">A5059719881</t>
  </si>
  <si>
    <t xml:space="preserve">UCLouvain</t>
  </si>
  <si>
    <t xml:space="preserve">532</t>
  </si>
  <si>
    <t xml:space="preserve">Isabelle Thomas-Maret</t>
  </si>
  <si>
    <t xml:space="preserve">A5000426887</t>
  </si>
  <si>
    <t xml:space="preserve">A5106591365</t>
  </si>
  <si>
    <t xml:space="preserve">Université de Montréal</t>
  </si>
  <si>
    <t xml:space="preserve">Isabelle Thomas-Fogiel</t>
  </si>
  <si>
    <t xml:space="preserve">A5062675880</t>
  </si>
  <si>
    <t xml:space="preserve">University of Ottawa</t>
  </si>
  <si>
    <t xml:space="preserve">A5055122966</t>
  </si>
  <si>
    <t xml:space="preserve">Kristof Assche</t>
  </si>
  <si>
    <t xml:space="preserve">2004 Wegeningen University</t>
  </si>
  <si>
    <t xml:space="preserve">Kristof Van Assche</t>
  </si>
  <si>
    <t xml:space="preserve">A5085787037</t>
  </si>
  <si>
    <t xml:space="preserve">575</t>
  </si>
  <si>
    <t xml:space="preserve">A5120149817</t>
  </si>
  <si>
    <t xml:space="preserve">A5128334584</t>
  </si>
  <si>
    <t xml:space="preserve">A5135235917</t>
  </si>
  <si>
    <t xml:space="preserve">A5059457745</t>
  </si>
  <si>
    <t xml:space="preserve">University of Antwerp</t>
  </si>
  <si>
    <t xml:space="preserve">Shannon Van Zandt</t>
  </si>
  <si>
    <t xml:space="preserve">2004 UNC</t>
  </si>
  <si>
    <t xml:space="preserve">A5006052564</t>
  </si>
  <si>
    <t xml:space="preserve">392</t>
  </si>
  <si>
    <t xml:space="preserve">Shannon S. Van Zandt</t>
  </si>
  <si>
    <t xml:space="preserve">A5045546250</t>
  </si>
  <si>
    <t xml:space="preserve">Van Zandt Shannon</t>
  </si>
  <si>
    <t xml:space="preserve">A5063587563</t>
  </si>
  <si>
    <t xml:space="preserve">Liming Wang</t>
  </si>
  <si>
    <t xml:space="preserve">2009 University of Washington</t>
  </si>
  <si>
    <t xml:space="preserve">A5100328707</t>
  </si>
  <si>
    <t xml:space="preserve">Shandong University</t>
  </si>
  <si>
    <t xml:space="preserve">299</t>
  </si>
  <si>
    <t xml:space="preserve">A5100328715</t>
  </si>
  <si>
    <t xml:space="preserve">Chinese Academy of Medical Sciences &amp; Peking Union Medical College</t>
  </si>
  <si>
    <t xml:space="preserve">A5100328733</t>
  </si>
  <si>
    <t xml:space="preserve">Capital Medical University</t>
  </si>
  <si>
    <t xml:space="preserve">A5101680356</t>
  </si>
  <si>
    <t xml:space="preserve">Mongolian University of Science and Technology</t>
  </si>
  <si>
    <t xml:space="preserve">A5100328728</t>
  </si>
  <si>
    <t xml:space="preserve">Beijing Institute of Technology</t>
  </si>
  <si>
    <t xml:space="preserve">Owen Waygood</t>
  </si>
  <si>
    <t xml:space="preserve">2009 Kyoto University</t>
  </si>
  <si>
    <t xml:space="preserve">E. Owen D. Waygood</t>
  </si>
  <si>
    <t xml:space="preserve">A5013070159</t>
  </si>
  <si>
    <t xml:space="preserve">Polytechnique Montréal</t>
  </si>
  <si>
    <t xml:space="preserve">546</t>
  </si>
  <si>
    <t xml:space="preserve">A5113967102</t>
  </si>
  <si>
    <t xml:space="preserve">A5136352209</t>
  </si>
  <si>
    <t xml:space="preserve">E. Owen Waygood</t>
  </si>
  <si>
    <t xml:space="preserve">A5134018016</t>
  </si>
  <si>
    <t xml:space="preserve">A5134676173</t>
  </si>
  <si>
    <t xml:space="preserve">Graham Whitelaw</t>
  </si>
  <si>
    <t xml:space="preserve">Queen's University</t>
  </si>
  <si>
    <t xml:space="preserve">2006 University of Waterloo</t>
  </si>
  <si>
    <t xml:space="preserve">A5111884245</t>
  </si>
  <si>
    <t xml:space="preserve">313</t>
  </si>
  <si>
    <t xml:space="preserve">Graham S. Whitelaw</t>
  </si>
  <si>
    <t xml:space="preserve">A5113469189</t>
  </si>
  <si>
    <t xml:space="preserve">Graham Whitelaw Rankin</t>
  </si>
  <si>
    <t xml:space="preserve">A5009008603</t>
  </si>
  <si>
    <t xml:space="preserve">Michael Widener</t>
  </si>
  <si>
    <t xml:space="preserve">2012 University at Buffalo, The State University of New York</t>
  </si>
  <si>
    <t xml:space="preserve">Michael J. Widener</t>
  </si>
  <si>
    <t xml:space="preserve">A5053169940</t>
  </si>
  <si>
    <t xml:space="preserve">St. Michael's Hospital</t>
  </si>
  <si>
    <t xml:space="preserve">916</t>
  </si>
  <si>
    <t xml:space="preserve">A5147506309</t>
  </si>
  <si>
    <t xml:space="preserve">A5070127172</t>
  </si>
  <si>
    <t xml:space="preserve">University of Phoenix</t>
  </si>
  <si>
    <t xml:space="preserve">Michael D. Widener</t>
  </si>
  <si>
    <t xml:space="preserve">A5084344341</t>
  </si>
  <si>
    <t xml:space="preserve">Sarah Williams</t>
  </si>
  <si>
    <t xml:space="preserve">2005 MIT</t>
  </si>
  <si>
    <t xml:space="preserve">A5103110896</t>
  </si>
  <si>
    <t xml:space="preserve">238</t>
  </si>
  <si>
    <t xml:space="preserve">A5101656348</t>
  </si>
  <si>
    <t xml:space="preserve">Massachusetts Institute of Technology</t>
  </si>
  <si>
    <t xml:space="preserve">A5100724015</t>
  </si>
  <si>
    <t xml:space="preserve">Prince of Wales Hospital</t>
  </si>
  <si>
    <t xml:space="preserve">A5003975585</t>
  </si>
  <si>
    <t xml:space="preserve">Sarah Louise Williams</t>
  </si>
  <si>
    <t xml:space="preserve">A5107894359</t>
  </si>
  <si>
    <t xml:space="preserve">Mark Wilson</t>
  </si>
  <si>
    <t xml:space="preserve">1987 University of Pennsylvania</t>
  </si>
  <si>
    <t xml:space="preserve">A5056989854</t>
  </si>
  <si>
    <t xml:space="preserve">199</t>
  </si>
  <si>
    <t xml:space="preserve">A5027722530</t>
  </si>
  <si>
    <t xml:space="preserve">A5071603430</t>
  </si>
  <si>
    <t xml:space="preserve">Colorado College</t>
  </si>
  <si>
    <t xml:space="preserve">Mark G. Wilson</t>
  </si>
  <si>
    <t xml:space="preserve">A5048611220</t>
  </si>
  <si>
    <t xml:space="preserve">Mark L. Wilson</t>
  </si>
  <si>
    <t xml:space="preserve">A5107978370</t>
  </si>
  <si>
    <t xml:space="preserve">Bev Wilson</t>
  </si>
  <si>
    <t xml:space="preserve">University of Virginia</t>
  </si>
  <si>
    <t xml:space="preserve">2009 UNC</t>
  </si>
  <si>
    <t xml:space="preserve">A5089529760</t>
  </si>
  <si>
    <t xml:space="preserve">931</t>
  </si>
  <si>
    <t xml:space="preserve">A5112640076</t>
  </si>
  <si>
    <t xml:space="preserve">A5028172464</t>
  </si>
  <si>
    <t xml:space="preserve">A5112017490</t>
  </si>
  <si>
    <t xml:space="preserve">A5103868655</t>
  </si>
  <si>
    <t xml:space="preserve">Stollery Children's Hospital</t>
  </si>
  <si>
    <t xml:space="preserve">Barbara Wilson</t>
  </si>
  <si>
    <t xml:space="preserve">2010 University of Texas, Austin</t>
  </si>
  <si>
    <t xml:space="preserve">Barbara Braunstein Wilson</t>
  </si>
  <si>
    <t xml:space="preserve">A5109193437</t>
  </si>
  <si>
    <t xml:space="preserve">University of Virginia Medical Center</t>
  </si>
  <si>
    <t xml:space="preserve">932</t>
  </si>
  <si>
    <t xml:space="preserve">Barbara B. Wilson</t>
  </si>
  <si>
    <t xml:space="preserve">A5018163213</t>
  </si>
  <si>
    <t xml:space="preserve">Barbara L. Wilson</t>
  </si>
  <si>
    <t xml:space="preserve">A5024221492</t>
  </si>
  <si>
    <t xml:space="preserve">A5113644437</t>
  </si>
  <si>
    <t xml:space="preserve">Medical College of Wisconsin</t>
  </si>
  <si>
    <t xml:space="preserve">A5109000992</t>
  </si>
  <si>
    <t xml:space="preserve">Weiping Wu</t>
  </si>
  <si>
    <t xml:space="preserve">1996 Rutgers University</t>
  </si>
  <si>
    <t xml:space="preserve">A5101413878</t>
  </si>
  <si>
    <t xml:space="preserve">69</t>
  </si>
  <si>
    <t xml:space="preserve">A5101413877</t>
  </si>
  <si>
    <t xml:space="preserve">University of Science and Technology of China</t>
  </si>
  <si>
    <t xml:space="preserve">A5102301149</t>
  </si>
  <si>
    <t xml:space="preserve">Dalian Maritime University</t>
  </si>
  <si>
    <t xml:space="preserve">A5089012962</t>
  </si>
  <si>
    <t xml:space="preserve">Wuhan University of Technology</t>
  </si>
  <si>
    <t xml:space="preserve">A5108585947</t>
  </si>
  <si>
    <t xml:space="preserve">Chinese PLA General Hospital</t>
  </si>
  <si>
    <t xml:space="preserve">Wenfei Xu</t>
  </si>
  <si>
    <t xml:space="preserve">2022 Columbia University</t>
  </si>
  <si>
    <t xml:space="preserve">A5042450429</t>
  </si>
  <si>
    <t xml:space="preserve">Zhejiang Sci-Tech University</t>
  </si>
  <si>
    <t xml:space="preserve">86</t>
  </si>
  <si>
    <t xml:space="preserve">A5062166205</t>
  </si>
  <si>
    <t xml:space="preserve">University of California, Santa Barbara</t>
  </si>
  <si>
    <t xml:space="preserve">A5074356169</t>
  </si>
  <si>
    <t xml:space="preserve">Shimadzu (China)</t>
  </si>
  <si>
    <t xml:space="preserve">A5108489962</t>
  </si>
  <si>
    <t xml:space="preserve">Ministry of Education</t>
  </si>
  <si>
    <t xml:space="preserve">A5140480217</t>
  </si>
  <si>
    <t xml:space="preserve">Stomatology Hospital</t>
  </si>
  <si>
    <t xml:space="preserve">Yizhao Yang</t>
  </si>
  <si>
    <t xml:space="preserve">University of Oregon</t>
  </si>
  <si>
    <t xml:space="preserve">2007 Cornell University</t>
  </si>
  <si>
    <t xml:space="preserve">A5024005394</t>
  </si>
  <si>
    <t xml:space="preserve">825</t>
  </si>
  <si>
    <t xml:space="preserve">A5100892827</t>
  </si>
  <si>
    <t xml:space="preserve">Hong Kong Baptist University</t>
  </si>
  <si>
    <t xml:space="preserve">A5121785882</t>
  </si>
  <si>
    <t xml:space="preserve">A5137844673</t>
  </si>
  <si>
    <t xml:space="preserve">A5102184150</t>
  </si>
  <si>
    <t xml:space="preserve">Li Yin</t>
  </si>
  <si>
    <t xml:space="preserve">2004 University of Colorado, Denver</t>
  </si>
  <si>
    <t xml:space="preserve">A5100672017</t>
  </si>
  <si>
    <t xml:space="preserve">Southwest University</t>
  </si>
  <si>
    <t xml:space="preserve">562</t>
  </si>
  <si>
    <t xml:space="preserve">A5100759456</t>
  </si>
  <si>
    <t xml:space="preserve">Nantong University</t>
  </si>
  <si>
    <t xml:space="preserve">A5058610487</t>
  </si>
  <si>
    <t xml:space="preserve">Weifang Maternity and Child Care Hospital</t>
  </si>
  <si>
    <t xml:space="preserve">Li‐Yin Chien</t>
  </si>
  <si>
    <t xml:space="preserve">A5053763458</t>
  </si>
  <si>
    <t xml:space="preserve">National Yang Ming Chiao Tung University</t>
  </si>
  <si>
    <t xml:space="preserve">A5100620243</t>
  </si>
  <si>
    <t xml:space="preserve">State Ethnic Affairs Commission</t>
  </si>
  <si>
    <t xml:space="preserve">Siyu Yu</t>
  </si>
  <si>
    <t xml:space="preserve">2019 Texas A&amp;M</t>
  </si>
  <si>
    <t xml:space="preserve">A5100714673</t>
  </si>
  <si>
    <t xml:space="preserve">Soochow University</t>
  </si>
  <si>
    <t xml:space="preserve">393</t>
  </si>
  <si>
    <t xml:space="preserve">A5137079775</t>
  </si>
  <si>
    <t xml:space="preserve">A5100714669</t>
  </si>
  <si>
    <t xml:space="preserve">Yangtze University</t>
  </si>
  <si>
    <t xml:space="preserve">Siyu YU</t>
  </si>
  <si>
    <t xml:space="preserve">A5122349434</t>
  </si>
  <si>
    <t xml:space="preserve">A5100714671</t>
  </si>
  <si>
    <t xml:space="preserve">University of Electronic Science and Technology of China</t>
  </si>
  <si>
    <t xml:space="preserve">Christopher Zegras</t>
  </si>
  <si>
    <t xml:space="preserve">A5111754321</t>
  </si>
  <si>
    <t xml:space="preserve">239</t>
  </si>
  <si>
    <t xml:space="preserve">P. Christopher Zegras</t>
  </si>
  <si>
    <t xml:space="preserve">A5032312656</t>
  </si>
  <si>
    <t xml:space="preserve">Zegras Christopher</t>
  </si>
  <si>
    <t xml:space="preserve">A5065369145</t>
  </si>
  <si>
    <t xml:space="preserve">A5150109085</t>
  </si>
  <si>
    <t xml:space="preserve">Wenwen Zhang</t>
  </si>
  <si>
    <t xml:space="preserve">2017 Georgia Tech</t>
  </si>
  <si>
    <t xml:space="preserve">A5100401848</t>
  </si>
  <si>
    <t xml:space="preserve">Yunnan Vocational College of Mechanical and Electrical Technology</t>
  </si>
  <si>
    <t xml:space="preserve">338</t>
  </si>
  <si>
    <t xml:space="preserve">A5100401849</t>
  </si>
  <si>
    <t xml:space="preserve">Liaoning Technical University</t>
  </si>
  <si>
    <t xml:space="preserve">A5059498909</t>
  </si>
  <si>
    <t xml:space="preserve">A5100401863</t>
  </si>
  <si>
    <t xml:space="preserve">A5100401859</t>
  </si>
  <si>
    <t xml:space="preserve">Siqi Zheng</t>
  </si>
  <si>
    <t xml:space="preserve">2005 Tsinghua University</t>
  </si>
  <si>
    <t xml:space="preserve">A5014586639</t>
  </si>
  <si>
    <t xml:space="preserve">East China Jiaotong University</t>
  </si>
  <si>
    <t xml:space="preserve">241</t>
  </si>
  <si>
    <t xml:space="preserve">A5022751093</t>
  </si>
  <si>
    <t xml:space="preserve">Nanjing Forestry University</t>
  </si>
  <si>
    <t xml:space="preserve">A5044259117</t>
  </si>
  <si>
    <t xml:space="preserve">University Medical Center Groningen</t>
  </si>
  <si>
    <t xml:space="preserve">A5134568156</t>
  </si>
  <si>
    <t xml:space="preserve">A5101700479</t>
  </si>
  <si>
    <t xml:space="preserve">Alibaba Group (United States)</t>
  </si>
  <si>
    <t xml:space="preserve">Samantha Zuhlke</t>
  </si>
  <si>
    <t xml:space="preserve">University of Iowa</t>
  </si>
  <si>
    <t xml:space="preserve">2021 Texas A&amp;M</t>
  </si>
  <si>
    <t xml:space="preserve">A5069620263</t>
  </si>
  <si>
    <t xml:space="preserve">697</t>
  </si>
  <si>
    <t xml:space="preserve">A5007213837</t>
  </si>
  <si>
    <t xml:space="preserve">A5125457985</t>
  </si>
  <si>
    <t xml:space="preserve">A5114868818</t>
  </si>
  <si>
    <t xml:space="preserve">A5037043373</t>
  </si>
  <si>
    <t xml:space="preserve">B. No institution match</t>
  </si>
  <si>
    <t xml:space="preserve">David Amos</t>
  </si>
  <si>
    <t xml:space="preserve">Cal Poly, San Luis Obispo</t>
  </si>
  <si>
    <t xml:space="preserve">2020 UC Berkeley</t>
  </si>
  <si>
    <t xml:space="preserve">A5113501559</t>
  </si>
  <si>
    <t xml:space="preserve">43</t>
  </si>
  <si>
    <t xml:space="preserve">David Amos Smeltzer</t>
  </si>
  <si>
    <t xml:space="preserve">A5093426922</t>
  </si>
  <si>
    <t xml:space="preserve">A5078026541</t>
  </si>
  <si>
    <t xml:space="preserve">David T. Amos</t>
  </si>
  <si>
    <t xml:space="preserve">A5064836191</t>
  </si>
  <si>
    <t xml:space="preserve">3M (United States)</t>
  </si>
  <si>
    <t xml:space="preserve">David Bradley Amos</t>
  </si>
  <si>
    <t xml:space="preserve">A5008998984</t>
  </si>
  <si>
    <t xml:space="preserve">University of Pittsburgh</t>
  </si>
  <si>
    <t xml:space="preserve">Atyeh Ashtari</t>
  </si>
  <si>
    <t xml:space="preserve">2023 Universirty of Illinois at Urbana Champaign</t>
  </si>
  <si>
    <t xml:space="preserve">A5018423086</t>
  </si>
  <si>
    <t xml:space="preserve">751</t>
  </si>
  <si>
    <t xml:space="preserve">Emily Barrett</t>
  </si>
  <si>
    <t xml:space="preserve">Georgia Tech</t>
  </si>
  <si>
    <t xml:space="preserve">2025 Vanderbilt University</t>
  </si>
  <si>
    <t xml:space="preserve">A5025248819</t>
  </si>
  <si>
    <t xml:space="preserve">Vanderbilt University</t>
  </si>
  <si>
    <t xml:space="preserve">122</t>
  </si>
  <si>
    <t xml:space="preserve">A5095637931</t>
  </si>
  <si>
    <t xml:space="preserve">University of Portland</t>
  </si>
  <si>
    <t xml:space="preserve">A5140055220</t>
  </si>
  <si>
    <t xml:space="preserve">University of Otago</t>
  </si>
  <si>
    <t xml:space="preserve">Emily M. Barrett</t>
  </si>
  <si>
    <t xml:space="preserve">A5029864962</t>
  </si>
  <si>
    <t xml:space="preserve">University of Hartford</t>
  </si>
  <si>
    <t xml:space="preserve">Emily S. Barrett</t>
  </si>
  <si>
    <t xml:space="preserve">A5146908896</t>
  </si>
  <si>
    <t xml:space="preserve">Ellen Bassett</t>
  </si>
  <si>
    <t xml:space="preserve">2001 University of Wisconsin, Madison</t>
  </si>
  <si>
    <t xml:space="preserve">Ellen M. Bassett</t>
  </si>
  <si>
    <t xml:space="preserve">A5014820761</t>
  </si>
  <si>
    <t xml:space="preserve">123</t>
  </si>
  <si>
    <t xml:space="preserve">Mary Ellen Bassett</t>
  </si>
  <si>
    <t xml:space="preserve">A5044478033</t>
  </si>
  <si>
    <t xml:space="preserve">Phil Berke</t>
  </si>
  <si>
    <t xml:space="preserve">1981 Texas A&amp;M</t>
  </si>
  <si>
    <t xml:space="preserve">A5082676449</t>
  </si>
  <si>
    <t xml:space="preserve">North Carolina Department of Environmental Quality</t>
  </si>
  <si>
    <t xml:space="preserve">507</t>
  </si>
  <si>
    <t xml:space="preserve">Berke Phil</t>
  </si>
  <si>
    <t xml:space="preserve">A5034814078</t>
  </si>
  <si>
    <t xml:space="preserve">Jeff Brown</t>
  </si>
  <si>
    <t xml:space="preserve">2003 UCLA</t>
  </si>
  <si>
    <t xml:space="preserve">Jeff L. Brown</t>
  </si>
  <si>
    <t xml:space="preserve">A5091110764</t>
  </si>
  <si>
    <t xml:space="preserve">108</t>
  </si>
  <si>
    <t xml:space="preserve">A5111376644</t>
  </si>
  <si>
    <t xml:space="preserve">Palmerston North Hospital</t>
  </si>
  <si>
    <t xml:space="preserve">A5075131493</t>
  </si>
  <si>
    <t xml:space="preserve">A5079773631</t>
  </si>
  <si>
    <t xml:space="preserve">Southern California Coastal Water Research Project</t>
  </si>
  <si>
    <t xml:space="preserve">A5072309521</t>
  </si>
  <si>
    <t xml:space="preserve">George Brown College</t>
  </si>
  <si>
    <t xml:space="preserve">Nicholas Brunet</t>
  </si>
  <si>
    <t xml:space="preserve">2014 McGill University</t>
  </si>
  <si>
    <t xml:space="preserve">Nicholas Brunet-Filion</t>
  </si>
  <si>
    <t xml:space="preserve">A5057268347</t>
  </si>
  <si>
    <t xml:space="preserve">649</t>
  </si>
  <si>
    <t xml:space="preserve">Brunet-Filion Nicholas</t>
  </si>
  <si>
    <t xml:space="preserve">A5021020232</t>
  </si>
  <si>
    <t xml:space="preserve">Arnab Chakraborty</t>
  </si>
  <si>
    <t xml:space="preserve">2007 University of Maryland</t>
  </si>
  <si>
    <t xml:space="preserve">A5042656626</t>
  </si>
  <si>
    <t xml:space="preserve">University of Engineering &amp; Management</t>
  </si>
  <si>
    <t xml:space="preserve">918</t>
  </si>
  <si>
    <t xml:space="preserve">A5010450933</t>
  </si>
  <si>
    <t xml:space="preserve">Shanghai University of Medicine and Health Sciences</t>
  </si>
  <si>
    <t xml:space="preserve">A5102771230</t>
  </si>
  <si>
    <t xml:space="preserve">Rangamati Science and Technology University</t>
  </si>
  <si>
    <t xml:space="preserve">A5026096668</t>
  </si>
  <si>
    <t xml:space="preserve">Space Science Institute</t>
  </si>
  <si>
    <t xml:space="preserve">A5040105632</t>
  </si>
  <si>
    <t xml:space="preserve">Vellore Institute of Technology University</t>
  </si>
  <si>
    <t xml:space="preserve">Deepti Chatti</t>
  </si>
  <si>
    <t xml:space="preserve">2019 Yale</t>
  </si>
  <si>
    <t xml:space="preserve">A5079666837</t>
  </si>
  <si>
    <t xml:space="preserve">467</t>
  </si>
  <si>
    <t xml:space="preserve">Si Chen</t>
  </si>
  <si>
    <t xml:space="preserve">2021 University of Illinois, Urbana-Champaign</t>
  </si>
  <si>
    <t xml:space="preserve">A5112609489</t>
  </si>
  <si>
    <t xml:space="preserve">University of Tennessee at Knoxville</t>
  </si>
  <si>
    <t xml:space="preserve">191</t>
  </si>
  <si>
    <t xml:space="preserve">A5100366211</t>
  </si>
  <si>
    <t xml:space="preserve">Shanghai University</t>
  </si>
  <si>
    <t xml:space="preserve">A5100366215</t>
  </si>
  <si>
    <t xml:space="preserve">A5101756587</t>
  </si>
  <si>
    <t xml:space="preserve">A5073464445</t>
  </si>
  <si>
    <t xml:space="preserve">Jiangsu Normal University</t>
  </si>
  <si>
    <t xml:space="preserve">Tara Lynne Clapp</t>
  </si>
  <si>
    <t xml:space="preserve">University of Northern British Columbia</t>
  </si>
  <si>
    <t xml:space="preserve">A5008995236</t>
  </si>
  <si>
    <t xml:space="preserve">803</t>
  </si>
  <si>
    <t xml:space="preserve">Ben Clark</t>
  </si>
  <si>
    <t xml:space="preserve">2009 University of Georgia</t>
  </si>
  <si>
    <t xml:space="preserve">A5111702905</t>
  </si>
  <si>
    <t xml:space="preserve">North Carolina State University</t>
  </si>
  <si>
    <t xml:space="preserve">811</t>
  </si>
  <si>
    <t xml:space="preserve">A5041658601</t>
  </si>
  <si>
    <t xml:space="preserve">A5077758208</t>
  </si>
  <si>
    <t xml:space="preserve">Micro Materials (United Kingdom)</t>
  </si>
  <si>
    <t xml:space="preserve">A5102776727</t>
  </si>
  <si>
    <t xml:space="preserve">Geelong Hospital</t>
  </si>
  <si>
    <t xml:space="preserve">Ben M. Clark</t>
  </si>
  <si>
    <t xml:space="preserve">A5146539048</t>
  </si>
  <si>
    <t xml:space="preserve">University of Manitoba</t>
  </si>
  <si>
    <t xml:space="preserve">Jordy Coutin</t>
  </si>
  <si>
    <t xml:space="preserve">2025 USC</t>
  </si>
  <si>
    <t xml:space="preserve">A5095843817</t>
  </si>
  <si>
    <t xml:space="preserve">812</t>
  </si>
  <si>
    <t xml:space="preserve">A5099250876</t>
  </si>
  <si>
    <t xml:space="preserve">Jack Crowley</t>
  </si>
  <si>
    <t xml:space="preserve">1977 University of Oklahoma</t>
  </si>
  <si>
    <t xml:space="preserve">Dana Crowley Jack</t>
  </si>
  <si>
    <t xml:space="preserve">A5110601826</t>
  </si>
  <si>
    <t xml:space="preserve">Western Washington University</t>
  </si>
  <si>
    <t xml:space="preserve">642</t>
  </si>
  <si>
    <t xml:space="preserve">A5112327844</t>
  </si>
  <si>
    <t xml:space="preserve">A5004094115</t>
  </si>
  <si>
    <t xml:space="preserve">A5128505389</t>
  </si>
  <si>
    <t xml:space="preserve">Jack C. Crowley</t>
  </si>
  <si>
    <t xml:space="preserve">A5000285728</t>
  </si>
  <si>
    <t xml:space="preserve">Greg Dobler</t>
  </si>
  <si>
    <t xml:space="preserve">2006 University of Pennsylvania</t>
  </si>
  <si>
    <t xml:space="preserve">A5010069502</t>
  </si>
  <si>
    <t xml:space="preserve">627</t>
  </si>
  <si>
    <t xml:space="preserve">A5008028465</t>
  </si>
  <si>
    <t xml:space="preserve">CFA Institute</t>
  </si>
  <si>
    <t xml:space="preserve">A5075222770</t>
  </si>
  <si>
    <t xml:space="preserve">Jeffrey Doshna</t>
  </si>
  <si>
    <t xml:space="preserve">Temple University</t>
  </si>
  <si>
    <t xml:space="preserve">2015 Rutgers University</t>
  </si>
  <si>
    <t xml:space="preserve">Jeffrey Peter Doshna</t>
  </si>
  <si>
    <t xml:space="preserve">A5052260807</t>
  </si>
  <si>
    <t xml:space="preserve">375</t>
  </si>
  <si>
    <t xml:space="preserve">Florina Dutt</t>
  </si>
  <si>
    <t xml:space="preserve">Alabama A&amp;M University</t>
  </si>
  <si>
    <t xml:space="preserve">2023 Georgia Tech</t>
  </si>
  <si>
    <t xml:space="preserve">A5091437041</t>
  </si>
  <si>
    <t xml:space="preserve">Georgia Institute of Technology</t>
  </si>
  <si>
    <t xml:space="preserve">1</t>
  </si>
  <si>
    <t xml:space="preserve">Dutt Florina</t>
  </si>
  <si>
    <t xml:space="preserve">A5120149276</t>
  </si>
  <si>
    <t xml:space="preserve">Alabama Agricultural and Mechanical University</t>
  </si>
  <si>
    <t xml:space="preserve">Nan Ellin</t>
  </si>
  <si>
    <t xml:space="preserve">University of Colorado, Denver</t>
  </si>
  <si>
    <t xml:space="preserve">1994 Columbia University</t>
  </si>
  <si>
    <t xml:space="preserve">A5041002227</t>
  </si>
  <si>
    <t xml:space="preserve">621</t>
  </si>
  <si>
    <t xml:space="preserve">Carolyn Esswein</t>
  </si>
  <si>
    <t xml:space="preserve">1994 University of Wisconsin, Milwaukee</t>
  </si>
  <si>
    <t xml:space="preserve">A5084368332</t>
  </si>
  <si>
    <t xml:space="preserve">974</t>
  </si>
  <si>
    <t xml:space="preserve">Kerry Li Fang</t>
  </si>
  <si>
    <t xml:space="preserve">2018 University of Maryland</t>
  </si>
  <si>
    <t xml:space="preserve">Kerry Y Fang</t>
  </si>
  <si>
    <t xml:space="preserve">A5024656408</t>
  </si>
  <si>
    <t xml:space="preserve">Camden and Campbelltown Hospitals</t>
  </si>
  <si>
    <t xml:space="preserve">683</t>
  </si>
  <si>
    <t xml:space="preserve">Monica Teets Farris</t>
  </si>
  <si>
    <t xml:space="preserve">University of New Orleans</t>
  </si>
  <si>
    <t xml:space="preserve">2002 University of New Orleans</t>
  </si>
  <si>
    <t xml:space="preserve">A5125920952</t>
  </si>
  <si>
    <t xml:space="preserve">Center for Assessment</t>
  </si>
  <si>
    <t xml:space="preserve">797</t>
  </si>
  <si>
    <t xml:space="preserve">Joe Ferreira</t>
  </si>
  <si>
    <t xml:space="preserve">1971 MIT</t>
  </si>
  <si>
    <t xml:space="preserve">Joé Irley Ferreira Júnior</t>
  </si>
  <si>
    <t xml:space="preserve">A5017966645</t>
  </si>
  <si>
    <t xml:space="preserve">217</t>
  </si>
  <si>
    <t xml:space="preserve">A5144067282</t>
  </si>
  <si>
    <t xml:space="preserve">Henkel (Germany)</t>
  </si>
  <si>
    <t xml:space="preserve">Aaron Flores</t>
  </si>
  <si>
    <t xml:space="preserve">2022 University of Utah</t>
  </si>
  <si>
    <t xml:space="preserve">Aaron B. Flores</t>
  </si>
  <si>
    <t xml:space="preserve">A5036410753</t>
  </si>
  <si>
    <t xml:space="preserve">Arizona State University</t>
  </si>
  <si>
    <t xml:space="preserve">579</t>
  </si>
  <si>
    <t xml:space="preserve">Aaron M. Flores</t>
  </si>
  <si>
    <t xml:space="preserve">A5011129537</t>
  </si>
  <si>
    <t xml:space="preserve">San Jose State University</t>
  </si>
  <si>
    <t xml:space="preserve">A5136340999</t>
  </si>
  <si>
    <t xml:space="preserve">Aarón Flores</t>
  </si>
  <si>
    <t xml:space="preserve">A5079114525</t>
  </si>
  <si>
    <t xml:space="preserve">Aaron E. Flores</t>
  </si>
  <si>
    <t xml:space="preserve">A5103595651</t>
  </si>
  <si>
    <t xml:space="preserve">Ahsan Habib</t>
  </si>
  <si>
    <t xml:space="preserve">2009 University of Toronto</t>
  </si>
  <si>
    <t xml:space="preserve">A5005222276</t>
  </si>
  <si>
    <t xml:space="preserve">University of Dhaka</t>
  </si>
  <si>
    <t xml:space="preserve">88</t>
  </si>
  <si>
    <t xml:space="preserve">A.K.M. Ahsan Habib</t>
  </si>
  <si>
    <t xml:space="preserve">A5101673834</t>
  </si>
  <si>
    <t xml:space="preserve">King Edward Medical University</t>
  </si>
  <si>
    <t xml:space="preserve">A5102609795</t>
  </si>
  <si>
    <t xml:space="preserve">FEG Textiltechnik (Germany)</t>
  </si>
  <si>
    <t xml:space="preserve">A5074993588</t>
  </si>
  <si>
    <t xml:space="preserve">University of North Texas</t>
  </si>
  <si>
    <t xml:space="preserve">Md. Ahsan Habib</t>
  </si>
  <si>
    <t xml:space="preserve">A5104037407</t>
  </si>
  <si>
    <t xml:space="preserve">Begum Rokeya University</t>
  </si>
  <si>
    <t xml:space="preserve">Ivy Hu</t>
  </si>
  <si>
    <t xml:space="preserve">2010 USC</t>
  </si>
  <si>
    <t xml:space="preserve">A5028899129</t>
  </si>
  <si>
    <t xml:space="preserve">Saint Agnes Medical Center</t>
  </si>
  <si>
    <t xml:space="preserve">380</t>
  </si>
  <si>
    <t xml:space="preserve">Clara Irazábal-Zurita</t>
  </si>
  <si>
    <t xml:space="preserve">Clara E. Irazabal Zurita</t>
  </si>
  <si>
    <t xml:space="preserve">A5049322120</t>
  </si>
  <si>
    <t xml:space="preserve">725</t>
  </si>
  <si>
    <t xml:space="preserve">Clara Elena Irazábal-Zurita</t>
  </si>
  <si>
    <t xml:space="preserve">A5103973385</t>
  </si>
  <si>
    <t xml:space="preserve">University of Missouri–Kansas City</t>
  </si>
  <si>
    <t xml:space="preserve">Kuni Kamizaki</t>
  </si>
  <si>
    <t xml:space="preserve">2022 University of Toronto</t>
  </si>
  <si>
    <t xml:space="preserve">A5057973739</t>
  </si>
  <si>
    <t xml:space="preserve">595</t>
  </si>
  <si>
    <t xml:space="preserve">Eli Knaap</t>
  </si>
  <si>
    <t xml:space="preserve">2016 University of Maryland</t>
  </si>
  <si>
    <t xml:space="preserve">eli knaap</t>
  </si>
  <si>
    <t xml:space="preserve">A5038943885</t>
  </si>
  <si>
    <t xml:space="preserve">453</t>
  </si>
  <si>
    <t xml:space="preserve">Jesus Lara</t>
  </si>
  <si>
    <t xml:space="preserve">2006 Arizona State University</t>
  </si>
  <si>
    <t xml:space="preserve">Jesus Lara Jauregui</t>
  </si>
  <si>
    <t xml:space="preserve">A5061427353</t>
  </si>
  <si>
    <t xml:space="preserve">195</t>
  </si>
  <si>
    <t xml:space="preserve">Jesús de Lara</t>
  </si>
  <si>
    <t xml:space="preserve">A5069367123</t>
  </si>
  <si>
    <t xml:space="preserve">Tecnológico Nacional de México</t>
  </si>
  <si>
    <t xml:space="preserve">Jesus J. Lara</t>
  </si>
  <si>
    <t xml:space="preserve">A5077221574</t>
  </si>
  <si>
    <t xml:space="preserve">Juan Jesús Lara</t>
  </si>
  <si>
    <t xml:space="preserve">A5079083347</t>
  </si>
  <si>
    <t xml:space="preserve">Juan Jesús Lara Valle</t>
  </si>
  <si>
    <t xml:space="preserve">A5103602821</t>
  </si>
  <si>
    <t xml:space="preserve">Jesse LeCavalier</t>
  </si>
  <si>
    <t xml:space="preserve">New Jersey Institute of Technology</t>
  </si>
  <si>
    <t xml:space="preserve">2012 ETH Zurich</t>
  </si>
  <si>
    <t xml:space="preserve">A5017654492</t>
  </si>
  <si>
    <t xml:space="preserve">249</t>
  </si>
  <si>
    <t xml:space="preserve">Ryun Jung Lee</t>
  </si>
  <si>
    <t xml:space="preserve">University of Texas, San Antonio</t>
  </si>
  <si>
    <t xml:space="preserve">2018 Texas A&amp;M</t>
  </si>
  <si>
    <t xml:space="preserve">A5020065179</t>
  </si>
  <si>
    <t xml:space="preserve">897</t>
  </si>
  <si>
    <t xml:space="preserve">Ryun-Jung Lee</t>
  </si>
  <si>
    <t xml:space="preserve">A5024188924</t>
  </si>
  <si>
    <t xml:space="preserve">Jung-Ryun Lee</t>
  </si>
  <si>
    <t xml:space="preserve">A5054840258</t>
  </si>
  <si>
    <t xml:space="preserve">Intelligent Energy (United Kingdom)</t>
  </si>
  <si>
    <t xml:space="preserve">Jung Ryun Lee</t>
  </si>
  <si>
    <t xml:space="preserve">A5034285437</t>
  </si>
  <si>
    <t xml:space="preserve">A5079503473</t>
  </si>
  <si>
    <t xml:space="preserve">Nemoy Lewis</t>
  </si>
  <si>
    <t xml:space="preserve">Toronto Metropolitan University</t>
  </si>
  <si>
    <t xml:space="preserve">2018 Queen's University</t>
  </si>
  <si>
    <t xml:space="preserve">A5140596687</t>
  </si>
  <si>
    <t xml:space="preserve">Metropolitan University</t>
  </si>
  <si>
    <t xml:space="preserve">409</t>
  </si>
  <si>
    <t xml:space="preserve">Theo Lim</t>
  </si>
  <si>
    <t xml:space="preserve">2017 University of Pennsylvania</t>
  </si>
  <si>
    <t xml:space="preserve">A5115057905</t>
  </si>
  <si>
    <t xml:space="preserve">Crescent University</t>
  </si>
  <si>
    <t xml:space="preserve">596</t>
  </si>
  <si>
    <t xml:space="preserve">A5083399767</t>
  </si>
  <si>
    <t xml:space="preserve">Theo Paolo A. Lim</t>
  </si>
  <si>
    <t xml:space="preserve">A5062107373</t>
  </si>
  <si>
    <t xml:space="preserve">Lim Theo</t>
  </si>
  <si>
    <t xml:space="preserve">A5081807736</t>
  </si>
  <si>
    <t xml:space="preserve">Sarah Lopez</t>
  </si>
  <si>
    <t xml:space="preserve">A5028443556</t>
  </si>
  <si>
    <t xml:space="preserve">Université Paris-Saclay</t>
  </si>
  <si>
    <t xml:space="preserve">839</t>
  </si>
  <si>
    <t xml:space="preserve">Sarah A. Lopez</t>
  </si>
  <si>
    <t xml:space="preserve">A5109215780</t>
  </si>
  <si>
    <t xml:space="preserve">Oregon Health &amp; Science University</t>
  </si>
  <si>
    <t xml:space="preserve">Sarah Lopez-Duran</t>
  </si>
  <si>
    <t xml:space="preserve">A5043409379</t>
  </si>
  <si>
    <t xml:space="preserve">A5089494236</t>
  </si>
  <si>
    <t xml:space="preserve">Smith College</t>
  </si>
  <si>
    <t xml:space="preserve">A5046539486</t>
  </si>
  <si>
    <t xml:space="preserve">Lauri Macmillan</t>
  </si>
  <si>
    <t xml:space="preserve">1977 University of Illinois, Urbana-Champaign</t>
  </si>
  <si>
    <t xml:space="preserve">Lauri Macmillan Johnson</t>
  </si>
  <si>
    <t xml:space="preserve">A5026465352</t>
  </si>
  <si>
    <t xml:space="preserve">583</t>
  </si>
  <si>
    <t xml:space="preserve">A5099719389</t>
  </si>
  <si>
    <t xml:space="preserve">Michelle Magalong</t>
  </si>
  <si>
    <t xml:space="preserve">2017 UCLA</t>
  </si>
  <si>
    <t xml:space="preserve">A5013165338</t>
  </si>
  <si>
    <t xml:space="preserve">730</t>
  </si>
  <si>
    <t xml:space="preserve">Ronald Malega</t>
  </si>
  <si>
    <t xml:space="preserve">Missouri State University</t>
  </si>
  <si>
    <t xml:space="preserve">2010 University of Georgia</t>
  </si>
  <si>
    <t xml:space="preserve">Ronald William Malega</t>
  </si>
  <si>
    <t xml:space="preserve">A5022022969</t>
  </si>
  <si>
    <t xml:space="preserve">208</t>
  </si>
  <si>
    <t xml:space="preserve">Hilary Malson</t>
  </si>
  <si>
    <t xml:space="preserve">2025 UCLA</t>
  </si>
  <si>
    <t xml:space="preserve">A5001503458</t>
  </si>
  <si>
    <t xml:space="preserve">780</t>
  </si>
  <si>
    <t xml:space="preserve">Sneha Mandhan</t>
  </si>
  <si>
    <t xml:space="preserve">2024 University of Toronto</t>
  </si>
  <si>
    <t xml:space="preserve">A5008877753</t>
  </si>
  <si>
    <t xml:space="preserve">411</t>
  </si>
  <si>
    <t xml:space="preserve">A5070903134</t>
  </si>
  <si>
    <t xml:space="preserve">A5127658384</t>
  </si>
  <si>
    <t xml:space="preserve">Ceasar McDowell</t>
  </si>
  <si>
    <t xml:space="preserve">1988 Harvard University</t>
  </si>
  <si>
    <t xml:space="preserve">Ceasar L. McDowell</t>
  </si>
  <si>
    <t xml:space="preserve">A5054022895</t>
  </si>
  <si>
    <t xml:space="preserve">225</t>
  </si>
  <si>
    <t xml:space="preserve">Criseida Navarro-Diaz</t>
  </si>
  <si>
    <t xml:space="preserve">University of Puerto Rico</t>
  </si>
  <si>
    <t xml:space="preserve">Criseida Navarro Díaz</t>
  </si>
  <si>
    <t xml:space="preserve">A5050496605</t>
  </si>
  <si>
    <t xml:space="preserve">847</t>
  </si>
  <si>
    <t xml:space="preserve">Phuong Nguyen</t>
  </si>
  <si>
    <t xml:space="preserve">2010 Syracuse University</t>
  </si>
  <si>
    <t xml:space="preserve">A5056723329</t>
  </si>
  <si>
    <t xml:space="preserve">Vietnam National University, Hanoi</t>
  </si>
  <si>
    <t xml:space="preserve">694</t>
  </si>
  <si>
    <t xml:space="preserve">A5013277990</t>
  </si>
  <si>
    <t xml:space="preserve">Phuong The Nguyen</t>
  </si>
  <si>
    <t xml:space="preserve">A5062124394</t>
  </si>
  <si>
    <t xml:space="preserve">Hitotsubashi University</t>
  </si>
  <si>
    <t xml:space="preserve">A5110590125</t>
  </si>
  <si>
    <t xml:space="preserve">A5014414662</t>
  </si>
  <si>
    <t xml:space="preserve">Vietnam Academy of Science and Technology</t>
  </si>
  <si>
    <t xml:space="preserve">Lauren Nolan</t>
  </si>
  <si>
    <t xml:space="preserve">2025 Rutgers University</t>
  </si>
  <si>
    <t xml:space="preserve">A5030217009</t>
  </si>
  <si>
    <t xml:space="preserve">976</t>
  </si>
  <si>
    <t xml:space="preserve">Lauren E. Nolan</t>
  </si>
  <si>
    <t xml:space="preserve">A5125608287</t>
  </si>
  <si>
    <t xml:space="preserve">A5116549183</t>
  </si>
  <si>
    <t xml:space="preserve">The University of Queensland</t>
  </si>
  <si>
    <t xml:space="preserve">Lauren Wood Nolan</t>
  </si>
  <si>
    <t xml:space="preserve">A5022547303</t>
  </si>
  <si>
    <t xml:space="preserve">Esteban López Ochoa</t>
  </si>
  <si>
    <t xml:space="preserve">2016 University of Illinois, Urbana-Champaign</t>
  </si>
  <si>
    <t xml:space="preserve">A5133495512</t>
  </si>
  <si>
    <t xml:space="preserve">The University of Texas at San Antonio</t>
  </si>
  <si>
    <t xml:space="preserve">898</t>
  </si>
  <si>
    <t xml:space="preserve">Esteban Lopez-Ochoa</t>
  </si>
  <si>
    <t xml:space="preserve">A5118627972</t>
  </si>
  <si>
    <t xml:space="preserve">Esteban A. Lopez Ochoa</t>
  </si>
  <si>
    <t xml:space="preserve">A5147078962</t>
  </si>
  <si>
    <t xml:space="preserve">Juan Esteban Ochoa López</t>
  </si>
  <si>
    <t xml:space="preserve">A5127716245</t>
  </si>
  <si>
    <t xml:space="preserve">Norma Peña-Rivera</t>
  </si>
  <si>
    <t xml:space="preserve">2006 University of Illinois, Chicago</t>
  </si>
  <si>
    <t xml:space="preserve">Norma I. Peña-Rivera</t>
  </si>
  <si>
    <t xml:space="preserve">A5043684873</t>
  </si>
  <si>
    <t xml:space="preserve">849</t>
  </si>
  <si>
    <t xml:space="preserve">Norma I Pena-Rivera</t>
  </si>
  <si>
    <t xml:space="preserve">A5078125909</t>
  </si>
  <si>
    <t xml:space="preserve">Clemens Pilgram</t>
  </si>
  <si>
    <t xml:space="preserve">2024 USC</t>
  </si>
  <si>
    <t xml:space="preserve">A5063015504</t>
  </si>
  <si>
    <t xml:space="preserve">177</t>
  </si>
  <si>
    <t xml:space="preserve">Miriam Porter</t>
  </si>
  <si>
    <t xml:space="preserve">Minnesota State University, Mankato</t>
  </si>
  <si>
    <t xml:space="preserve">2000 Hamline University</t>
  </si>
  <si>
    <t xml:space="preserve">A5056624115</t>
  </si>
  <si>
    <t xml:space="preserve">Novartis (Switzerland)</t>
  </si>
  <si>
    <t xml:space="preserve">205</t>
  </si>
  <si>
    <t xml:space="preserve">Susmita Rishi</t>
  </si>
  <si>
    <t xml:space="preserve">2019 University of Washington</t>
  </si>
  <si>
    <t xml:space="preserve">A5032894047</t>
  </si>
  <si>
    <t xml:space="preserve">178</t>
  </si>
  <si>
    <t xml:space="preserve">A5086573909</t>
  </si>
  <si>
    <t xml:space="preserve">Ryan Sandwick</t>
  </si>
  <si>
    <t xml:space="preserve">2013 University of Glasgow</t>
  </si>
  <si>
    <t xml:space="preserve">A5048642685</t>
  </si>
  <si>
    <t xml:space="preserve">49</t>
  </si>
  <si>
    <t xml:space="preserve">Kristen Schwarz</t>
  </si>
  <si>
    <t xml:space="preserve">2010 Rutgers University</t>
  </si>
  <si>
    <t xml:space="preserve">A5150305920</t>
  </si>
  <si>
    <t xml:space="preserve">499</t>
  </si>
  <si>
    <t xml:space="preserve">Fariba Siddiq</t>
  </si>
  <si>
    <t xml:space="preserve">2024 UCLA</t>
  </si>
  <si>
    <t xml:space="preserve">A5086510388</t>
  </si>
  <si>
    <t xml:space="preserve">118</t>
  </si>
  <si>
    <t xml:space="preserve">Tom Slater</t>
  </si>
  <si>
    <t xml:space="preserve">2003 King's College London</t>
  </si>
  <si>
    <t xml:space="preserve">A5052773583</t>
  </si>
  <si>
    <t xml:space="preserve">Health and Care Research Wales</t>
  </si>
  <si>
    <t xml:space="preserve">67</t>
  </si>
  <si>
    <t xml:space="preserve">A5104509120</t>
  </si>
  <si>
    <t xml:space="preserve">A5104548131</t>
  </si>
  <si>
    <t xml:space="preserve">A5104509109</t>
  </si>
  <si>
    <t xml:space="preserve">A5104494652</t>
  </si>
  <si>
    <t xml:space="preserve">James Smither</t>
  </si>
  <si>
    <t xml:space="preserve">2005 University of Melbourne</t>
  </si>
  <si>
    <t xml:space="preserve">James R. Smither</t>
  </si>
  <si>
    <t xml:space="preserve">A5007678868</t>
  </si>
  <si>
    <t xml:space="preserve">Grand Valley State University</t>
  </si>
  <si>
    <t xml:space="preserve">999</t>
  </si>
  <si>
    <t xml:space="preserve">James G. Smither</t>
  </si>
  <si>
    <t xml:space="preserve">A5088660355</t>
  </si>
  <si>
    <t xml:space="preserve">A5135199498</t>
  </si>
  <si>
    <t xml:space="preserve">James W. Smither</t>
  </si>
  <si>
    <t xml:space="preserve">A5065028456</t>
  </si>
  <si>
    <t xml:space="preserve">Yang Song</t>
  </si>
  <si>
    <t xml:space="preserve">2016 Clemson University</t>
  </si>
  <si>
    <t xml:space="preserve">A5100424906</t>
  </si>
  <si>
    <t xml:space="preserve">391</t>
  </si>
  <si>
    <t xml:space="preserve">A5101930571</t>
  </si>
  <si>
    <t xml:space="preserve">Qilu University of Technology</t>
  </si>
  <si>
    <t xml:space="preserve">A5010532561</t>
  </si>
  <si>
    <t xml:space="preserve">Minzu University of China</t>
  </si>
  <si>
    <t xml:space="preserve">A5037430663</t>
  </si>
  <si>
    <t xml:space="preserve">Nanjing Xiaozhuang University</t>
  </si>
  <si>
    <t xml:space="preserve">A5115604106</t>
  </si>
  <si>
    <t xml:space="preserve">Dylan Stevenson</t>
  </si>
  <si>
    <t xml:space="preserve">2023 Cornell University</t>
  </si>
  <si>
    <t xml:space="preserve">A5026114294</t>
  </si>
  <si>
    <t xml:space="preserve">942</t>
  </si>
  <si>
    <t xml:space="preserve">A5026249794</t>
  </si>
  <si>
    <t xml:space="preserve">A5133769023</t>
  </si>
  <si>
    <t xml:space="preserve">A5138344985</t>
  </si>
  <si>
    <t xml:space="preserve">Allie Thomas</t>
  </si>
  <si>
    <t xml:space="preserve">2014 UC Berkeley</t>
  </si>
  <si>
    <t xml:space="preserve">Allie Thomas-Fannin</t>
  </si>
  <si>
    <t xml:space="preserve">A5074464195</t>
  </si>
  <si>
    <t xml:space="preserve">Good Samaritan Hospital</t>
  </si>
  <si>
    <t xml:space="preserve">519</t>
  </si>
  <si>
    <t xml:space="preserve">A5074428072</t>
  </si>
  <si>
    <t xml:space="preserve">Texas State University</t>
  </si>
  <si>
    <t xml:space="preserve">A5055748015</t>
  </si>
  <si>
    <t xml:space="preserve">A5047156712</t>
  </si>
  <si>
    <t xml:space="preserve">A5126730044</t>
  </si>
  <si>
    <t xml:space="preserve">Ariam Torres-Cordero</t>
  </si>
  <si>
    <t xml:space="preserve">2022 University of Illinois, Urbana-Champaign</t>
  </si>
  <si>
    <t xml:space="preserve">Ariam L Torres-Cordero</t>
  </si>
  <si>
    <t xml:space="preserve">A5093681082</t>
  </si>
  <si>
    <t xml:space="preserve">851</t>
  </si>
  <si>
    <t xml:space="preserve">Scott Truex</t>
  </si>
  <si>
    <t xml:space="preserve">1982 Ball State University</t>
  </si>
  <si>
    <t xml:space="preserve">A5081413082</t>
  </si>
  <si>
    <t xml:space="preserve">33</t>
  </si>
  <si>
    <t xml:space="preserve">A5141417783</t>
  </si>
  <si>
    <t xml:space="preserve">A5051805471</t>
  </si>
  <si>
    <t xml:space="preserve">Charles Warnken</t>
  </si>
  <si>
    <t xml:space="preserve">2003 Florida State University</t>
  </si>
  <si>
    <t xml:space="preserve">Charles G. Warnken</t>
  </si>
  <si>
    <t xml:space="preserve">A5034073709</t>
  </si>
  <si>
    <t xml:space="preserve">809</t>
  </si>
  <si>
    <t xml:space="preserve">Rachel Weber</t>
  </si>
  <si>
    <t xml:space="preserve">1998 Cornell University</t>
  </si>
  <si>
    <t xml:space="preserve">A5103011380</t>
  </si>
  <si>
    <t xml:space="preserve">145</t>
  </si>
  <si>
    <t xml:space="preserve">Rachel Palmieri Weber</t>
  </si>
  <si>
    <t xml:space="preserve">A5052083424</t>
  </si>
  <si>
    <t xml:space="preserve">Rachel E. Weber</t>
  </si>
  <si>
    <t xml:space="preserve">A5103590590</t>
  </si>
  <si>
    <t xml:space="preserve">The University of Texas at Dallas</t>
  </si>
  <si>
    <t xml:space="preserve">A5108383616</t>
  </si>
  <si>
    <t xml:space="preserve">Rachel 1967- Weber</t>
  </si>
  <si>
    <t xml:space="preserve">A5143008902</t>
  </si>
  <si>
    <t xml:space="preserve">Christine Wen</t>
  </si>
  <si>
    <t xml:space="preserve">2019 Cornell University</t>
  </si>
  <si>
    <t xml:space="preserve">A5037361738</t>
  </si>
  <si>
    <t xml:space="preserve">University of Calgary</t>
  </si>
  <si>
    <t xml:space="preserve">418</t>
  </si>
  <si>
    <t xml:space="preserve">Christine Wen-Yi Liang</t>
  </si>
  <si>
    <t xml:space="preserve">A5102950171</t>
  </si>
  <si>
    <t xml:space="preserve">King University</t>
  </si>
  <si>
    <t xml:space="preserve">Christine Wen Leng Yau</t>
  </si>
  <si>
    <t xml:space="preserve">A5081544715</t>
  </si>
  <si>
    <t xml:space="preserve">Christine Wen Chan</t>
  </si>
  <si>
    <t xml:space="preserve">A5068258585</t>
  </si>
  <si>
    <t xml:space="preserve">Christine Wen Yu</t>
  </si>
  <si>
    <t xml:space="preserve">A5055856196</t>
  </si>
  <si>
    <t xml:space="preserve">BC Cancer Agency</t>
  </si>
  <si>
    <t xml:space="preserve">Joan Wesley</t>
  </si>
  <si>
    <t xml:space="preserve">Jackson State University</t>
  </si>
  <si>
    <t xml:space="preserve">2002 Jackson State University</t>
  </si>
  <si>
    <t xml:space="preserve">Joan Wesley Forte</t>
  </si>
  <si>
    <t xml:space="preserve">A5009153424</t>
  </si>
  <si>
    <t xml:space="preserve">174</t>
  </si>
  <si>
    <t xml:space="preserve">Teo Wickland</t>
  </si>
  <si>
    <t xml:space="preserve">2021 UCLA</t>
  </si>
  <si>
    <t xml:space="preserve">A5013096816</t>
  </si>
  <si>
    <t xml:space="preserve">Brown University</t>
  </si>
  <si>
    <t xml:space="preserve">481</t>
  </si>
  <si>
    <t xml:space="preserve">Gaylan Williams</t>
  </si>
  <si>
    <t xml:space="preserve">2022 Southern University and A&amp;M College</t>
  </si>
  <si>
    <t xml:space="preserve">A5034610960</t>
  </si>
  <si>
    <t xml:space="preserve">973</t>
  </si>
  <si>
    <t xml:space="preserve">Jordan Yin</t>
  </si>
  <si>
    <t xml:space="preserve">2017 Cornell University</t>
  </si>
  <si>
    <t xml:space="preserve">Jordan S. Yin</t>
  </si>
  <si>
    <t xml:space="preserve">A5023127763</t>
  </si>
  <si>
    <t xml:space="preserve">Cleveland State University</t>
  </si>
  <si>
    <t xml:space="preserve">6</t>
  </si>
  <si>
    <t xml:space="preserve">Jordan J. Yin</t>
  </si>
  <si>
    <t xml:space="preserve">A5100652077</t>
  </si>
  <si>
    <t xml:space="preserve">Jordan Jiaxi Yin</t>
  </si>
  <si>
    <t xml:space="preserve">A5141046027</t>
  </si>
  <si>
    <t xml:space="preserve">C. Citation count implausible vs Scholar</t>
  </si>
  <si>
    <t xml:space="preserve">Fallon Samuels Aidoo</t>
  </si>
  <si>
    <t xml:space="preserve">Tulane University</t>
  </si>
  <si>
    <t xml:space="preserve">2017 Harvard University</t>
  </si>
  <si>
    <t xml:space="preserve">A5020105451</t>
  </si>
  <si>
    <t xml:space="preserve">428</t>
  </si>
  <si>
    <t xml:space="preserve">A5108176884</t>
  </si>
  <si>
    <t xml:space="preserve">Paul Boniface Akaabre</t>
  </si>
  <si>
    <t xml:space="preserve">2023 UBC</t>
  </si>
  <si>
    <t xml:space="preserve">A5116549640</t>
  </si>
  <si>
    <t xml:space="preserve">564</t>
  </si>
  <si>
    <t xml:space="preserve">A5075257972</t>
  </si>
  <si>
    <t xml:space="preserve">A5118136701</t>
  </si>
  <si>
    <t xml:space="preserve">Clifford Atleo</t>
  </si>
  <si>
    <t xml:space="preserve">Simon Fraser University</t>
  </si>
  <si>
    <t xml:space="preserve">2018 University of Alberta</t>
  </si>
  <si>
    <t xml:space="preserve">Clifford G Atleo</t>
  </si>
  <si>
    <t xml:space="preserve">A5040940303</t>
  </si>
  <si>
    <t xml:space="preserve">363</t>
  </si>
  <si>
    <t xml:space="preserve">Clifford Gordon Atleo</t>
  </si>
  <si>
    <t xml:space="preserve">A5041286599</t>
  </si>
  <si>
    <t xml:space="preserve">Clifford G. Atleo</t>
  </si>
  <si>
    <t xml:space="preserve">A5092114619</t>
  </si>
  <si>
    <t xml:space="preserve">Eric Bettis</t>
  </si>
  <si>
    <t xml:space="preserve">Wayne State University</t>
  </si>
  <si>
    <t xml:space="preserve">2023 University of Michigan</t>
  </si>
  <si>
    <t xml:space="preserve">A5147317534</t>
  </si>
  <si>
    <t xml:space="preserve">1015</t>
  </si>
  <si>
    <t xml:space="preserve">Eric A. Bettis</t>
  </si>
  <si>
    <t xml:space="preserve">A5041906155</t>
  </si>
  <si>
    <t xml:space="preserve">Eric D. Bettis</t>
  </si>
  <si>
    <t xml:space="preserve">A5009277364</t>
  </si>
  <si>
    <t xml:space="preserve">Matthew Bhagat-Conway</t>
  </si>
  <si>
    <t xml:space="preserve">2021 Arizona State University</t>
  </si>
  <si>
    <t xml:space="preserve">A5122400263</t>
  </si>
  <si>
    <t xml:space="preserve">508</t>
  </si>
  <si>
    <t xml:space="preserve">A5123019724</t>
  </si>
  <si>
    <t xml:space="preserve">Andi Binet</t>
  </si>
  <si>
    <t xml:space="preserve">2024 MIT</t>
  </si>
  <si>
    <t xml:space="preserve">A5123644279</t>
  </si>
  <si>
    <t xml:space="preserve">587</t>
  </si>
  <si>
    <t xml:space="preserve">Uwe Brandes</t>
  </si>
  <si>
    <t xml:space="preserve">Georgetown University</t>
  </si>
  <si>
    <t xml:space="preserve">1995 Harvard University</t>
  </si>
  <si>
    <t xml:space="preserve">A5116664731</t>
  </si>
  <si>
    <t xml:space="preserve">119</t>
  </si>
  <si>
    <t xml:space="preserve">A5010928932</t>
  </si>
  <si>
    <t xml:space="preserve">A5108907570</t>
  </si>
  <si>
    <t xml:space="preserve">World Resources Institute</t>
  </si>
  <si>
    <t xml:space="preserve">Uwe Steven Brandes</t>
  </si>
  <si>
    <t xml:space="preserve">A5034471396</t>
  </si>
  <si>
    <t xml:space="preserve">Angeliz Encarnacion Burgos</t>
  </si>
  <si>
    <t xml:space="preserve">2016 University of Texas, Austin</t>
  </si>
  <si>
    <t xml:space="preserve">Angeliz E Encarnacion Burgos</t>
  </si>
  <si>
    <t xml:space="preserve">A5114529651</t>
  </si>
  <si>
    <t xml:space="preserve">University of Puerto Rico System</t>
  </si>
  <si>
    <t xml:space="preserve">845</t>
  </si>
  <si>
    <t xml:space="preserve">Daniel Campo</t>
  </si>
  <si>
    <t xml:space="preserve">Morgan State University</t>
  </si>
  <si>
    <t xml:space="preserve">2004 University of Pennsylvania</t>
  </si>
  <si>
    <t xml:space="preserve">A5095764010</t>
  </si>
  <si>
    <t xml:space="preserve">242</t>
  </si>
  <si>
    <t xml:space="preserve">A5112092499</t>
  </si>
  <si>
    <t xml:space="preserve">Daniel Samano Martin del Campo</t>
  </si>
  <si>
    <t xml:space="preserve">A5002770667</t>
  </si>
  <si>
    <t xml:space="preserve">University of Miami</t>
  </si>
  <si>
    <t xml:space="preserve">Daniel Martín del Campo</t>
  </si>
  <si>
    <t xml:space="preserve">A5006464235</t>
  </si>
  <si>
    <t xml:space="preserve">A5011103505</t>
  </si>
  <si>
    <t xml:space="preserve">Jason Cao</t>
  </si>
  <si>
    <t xml:space="preserve">2006 UC Davis</t>
  </si>
  <si>
    <t xml:space="preserve">A5136837689</t>
  </si>
  <si>
    <t xml:space="preserve">774</t>
  </si>
  <si>
    <t xml:space="preserve">A5134598480</t>
  </si>
  <si>
    <t xml:space="preserve">A5133521592</t>
  </si>
  <si>
    <t xml:space="preserve">Institute of Public Affairs</t>
  </si>
  <si>
    <t xml:space="preserve">Jason Jijun Cao</t>
  </si>
  <si>
    <t xml:space="preserve">A5002645774</t>
  </si>
  <si>
    <t xml:space="preserve">Rockwell Automation (Germany)</t>
  </si>
  <si>
    <t xml:space="preserve">A5126492805</t>
  </si>
  <si>
    <t xml:space="preserve">Ricardo Cardoso</t>
  </si>
  <si>
    <t xml:space="preserve">2018 UC Berkeley</t>
  </si>
  <si>
    <t xml:space="preserve">Ricardo Lopes Cardoso</t>
  </si>
  <si>
    <t xml:space="preserve">A5045014928</t>
  </si>
  <si>
    <t xml:space="preserve">Fundação Getulio Vargas</t>
  </si>
  <si>
    <t xml:space="preserve">278</t>
  </si>
  <si>
    <t xml:space="preserve">A5057518859</t>
  </si>
  <si>
    <t xml:space="preserve">Ricardo Cardoso‐Leite</t>
  </si>
  <si>
    <t xml:space="preserve">A5035040492</t>
  </si>
  <si>
    <t xml:space="preserve">Federal Institute of São Paulo</t>
  </si>
  <si>
    <t xml:space="preserve">Ricardo Cardoso de Matos</t>
  </si>
  <si>
    <t xml:space="preserve">A5055050817</t>
  </si>
  <si>
    <t xml:space="preserve">Hospital do Servidor Público Estadual</t>
  </si>
  <si>
    <t xml:space="preserve">A5085662024</t>
  </si>
  <si>
    <t xml:space="preserve">Universidade Federal do Recôncavo da Bahia</t>
  </si>
  <si>
    <t xml:space="preserve">Patricia Collins</t>
  </si>
  <si>
    <t xml:space="preserve">2009 Simon Fraser University</t>
  </si>
  <si>
    <t xml:space="preserve">A5007069086</t>
  </si>
  <si>
    <t xml:space="preserve">308</t>
  </si>
  <si>
    <t xml:space="preserve">Patrícia Hill Collins</t>
  </si>
  <si>
    <t xml:space="preserve">A5006360782</t>
  </si>
  <si>
    <t xml:space="preserve">A5096374853</t>
  </si>
  <si>
    <t xml:space="preserve">A5104349930</t>
  </si>
  <si>
    <t xml:space="preserve">Patricia R. Collins</t>
  </si>
  <si>
    <t xml:space="preserve">A5081361850</t>
  </si>
  <si>
    <t xml:space="preserve">Edith Cowan University</t>
  </si>
  <si>
    <t xml:space="preserve">Betsy Donald</t>
  </si>
  <si>
    <t xml:space="preserve">1999 University of Toronto</t>
  </si>
  <si>
    <t xml:space="preserve">A5142450282</t>
  </si>
  <si>
    <t xml:space="preserve">309</t>
  </si>
  <si>
    <t xml:space="preserve">A5028941114</t>
  </si>
  <si>
    <t xml:space="preserve">Heather M . Hall and Betsy Donald</t>
  </si>
  <si>
    <t xml:space="preserve">A5076714771</t>
  </si>
  <si>
    <t xml:space="preserve">Gordon Douglas</t>
  </si>
  <si>
    <t xml:space="preserve">2014 University of Chicago</t>
  </si>
  <si>
    <t xml:space="preserve">Gordon C. C. Douglas</t>
  </si>
  <si>
    <t xml:space="preserve">A5058862982</t>
  </si>
  <si>
    <t xml:space="preserve">University Transportation Research Center</t>
  </si>
  <si>
    <t xml:space="preserve">354</t>
  </si>
  <si>
    <t xml:space="preserve">J. Douglas Gordon</t>
  </si>
  <si>
    <t xml:space="preserve">A5075441541</t>
  </si>
  <si>
    <t xml:space="preserve">Gordon R. Douglas</t>
  </si>
  <si>
    <t xml:space="preserve">A5027324129</t>
  </si>
  <si>
    <t xml:space="preserve">Gordon W. Douglas</t>
  </si>
  <si>
    <t xml:space="preserve">A5105501055</t>
  </si>
  <si>
    <t xml:space="preserve">Douglas Gordon</t>
  </si>
  <si>
    <t xml:space="preserve">A5110668492</t>
  </si>
  <si>
    <t xml:space="preserve">Gauteng Department of Agriculture and Rural Development</t>
  </si>
  <si>
    <t xml:space="preserve">Josh Evans</t>
  </si>
  <si>
    <t xml:space="preserve">2009 McMaster University</t>
  </si>
  <si>
    <t xml:space="preserve">A5009620463</t>
  </si>
  <si>
    <t xml:space="preserve">569</t>
  </si>
  <si>
    <t xml:space="preserve">A5048062036</t>
  </si>
  <si>
    <t xml:space="preserve">Aston University</t>
  </si>
  <si>
    <t xml:space="preserve">Josh D. Evans</t>
  </si>
  <si>
    <t xml:space="preserve">A5078254014</t>
  </si>
  <si>
    <t xml:space="preserve">Athabasca University</t>
  </si>
  <si>
    <t xml:space="preserve">A5039395116</t>
  </si>
  <si>
    <t xml:space="preserve">University of Copenhagen</t>
  </si>
  <si>
    <t xml:space="preserve">A5110236821</t>
  </si>
  <si>
    <t xml:space="preserve">The Royal Free Hospital</t>
  </si>
  <si>
    <t xml:space="preserve">Guadalupe Garcia</t>
  </si>
  <si>
    <t xml:space="preserve">2016 UNC</t>
  </si>
  <si>
    <t xml:space="preserve">Guadalupe García–Tsao</t>
  </si>
  <si>
    <t xml:space="preserve">A5018974631</t>
  </si>
  <si>
    <t xml:space="preserve">VA Connecticut Healthcare System</t>
  </si>
  <si>
    <t xml:space="preserve">470</t>
  </si>
  <si>
    <t xml:space="preserve">Guadalupe García</t>
  </si>
  <si>
    <t xml:space="preserve">A5101562910</t>
  </si>
  <si>
    <t xml:space="preserve">Universidade de Santiago de Compostela</t>
  </si>
  <si>
    <t xml:space="preserve">Guadalupe Manzano García</t>
  </si>
  <si>
    <t xml:space="preserve">A5039969369</t>
  </si>
  <si>
    <t xml:space="preserve">Universidad de La Rioja</t>
  </si>
  <si>
    <t xml:space="preserve">A5040065162</t>
  </si>
  <si>
    <t xml:space="preserve">A5088254403</t>
  </si>
  <si>
    <t xml:space="preserve">Dana-Farber Cancer Institute</t>
  </si>
  <si>
    <t xml:space="preserve">Matthew Gebhardt</t>
  </si>
  <si>
    <t xml:space="preserve">2009 Columbia University</t>
  </si>
  <si>
    <t xml:space="preserve">A5017215412</t>
  </si>
  <si>
    <t xml:space="preserve">University of Connecticut</t>
  </si>
  <si>
    <t xml:space="preserve">294</t>
  </si>
  <si>
    <t xml:space="preserve">Matthew C. Gebhardt</t>
  </si>
  <si>
    <t xml:space="preserve">A5008243000</t>
  </si>
  <si>
    <t xml:space="preserve">Loyola University Chicago</t>
  </si>
  <si>
    <t xml:space="preserve">A5021440756</t>
  </si>
  <si>
    <t xml:space="preserve">Nova Southeastern University</t>
  </si>
  <si>
    <t xml:space="preserve">A5130922883</t>
  </si>
  <si>
    <t xml:space="preserve">Matthew Clinton Gebhardt</t>
  </si>
  <si>
    <t xml:space="preserve">A5090056662</t>
  </si>
  <si>
    <t xml:space="preserve">Sudeshna Ghosh</t>
  </si>
  <si>
    <t xml:space="preserve">Indiana University of Pennsylvania</t>
  </si>
  <si>
    <t xml:space="preserve">2013 University of Cincinnati</t>
  </si>
  <si>
    <t xml:space="preserve">A5072400168</t>
  </si>
  <si>
    <t xml:space="preserve">156</t>
  </si>
  <si>
    <t xml:space="preserve">A5062838577</t>
  </si>
  <si>
    <t xml:space="preserve">Amity University</t>
  </si>
  <si>
    <t xml:space="preserve">A5068128792</t>
  </si>
  <si>
    <t xml:space="preserve">A5081012880</t>
  </si>
  <si>
    <t xml:space="preserve">A5128594077</t>
  </si>
  <si>
    <t xml:space="preserve">John Harris</t>
  </si>
  <si>
    <t xml:space="preserve">2012 Florida State University</t>
  </si>
  <si>
    <t xml:space="preserve">A5102363622</t>
  </si>
  <si>
    <t xml:space="preserve">807</t>
  </si>
  <si>
    <t xml:space="preserve">A5104832375</t>
  </si>
  <si>
    <t xml:space="preserve">Defence Science and Technology Agency</t>
  </si>
  <si>
    <t xml:space="preserve">A5081110953</t>
  </si>
  <si>
    <t xml:space="preserve">A5103531635</t>
  </si>
  <si>
    <t xml:space="preserve">A5081355772</t>
  </si>
  <si>
    <t xml:space="preserve">R. Dawn Hawley</t>
  </si>
  <si>
    <t xml:space="preserve">1994 Arizona State University</t>
  </si>
  <si>
    <t xml:space="preserve">A5091474292</t>
  </si>
  <si>
    <t xml:space="preserve">274</t>
  </si>
  <si>
    <t xml:space="preserve">Qian He</t>
  </si>
  <si>
    <t xml:space="preserve">2022 University of Texas, Arlington</t>
  </si>
  <si>
    <t xml:space="preserve">A5067169952</t>
  </si>
  <si>
    <t xml:space="preserve">Chengdu University of Traditional Chinese Medicine</t>
  </si>
  <si>
    <t xml:space="preserve">316</t>
  </si>
  <si>
    <t xml:space="preserve">He Qian</t>
  </si>
  <si>
    <t xml:space="preserve">A5100746953</t>
  </si>
  <si>
    <t xml:space="preserve">A5110796344</t>
  </si>
  <si>
    <t xml:space="preserve">Xuzhou University of Technology</t>
  </si>
  <si>
    <t xml:space="preserve">A5100720515</t>
  </si>
  <si>
    <t xml:space="preserve">Chongqing University</t>
  </si>
  <si>
    <t xml:space="preserve">A5062051871</t>
  </si>
  <si>
    <t xml:space="preserve">Chinese University of Hong Kong</t>
  </si>
  <si>
    <t xml:space="preserve">Ashley Hernandez</t>
  </si>
  <si>
    <t xml:space="preserve">2022 UC Irvine</t>
  </si>
  <si>
    <t xml:space="preserve">A5029871720</t>
  </si>
  <si>
    <t xml:space="preserve">509</t>
  </si>
  <si>
    <t xml:space="preserve">A5112624240</t>
  </si>
  <si>
    <t xml:space="preserve">Florida Cancer Specialists &amp; Research Institute</t>
  </si>
  <si>
    <t xml:space="preserve">A5112493744</t>
  </si>
  <si>
    <t xml:space="preserve">Ashley Williams-Hernandez</t>
  </si>
  <si>
    <t xml:space="preserve">A5085207082</t>
  </si>
  <si>
    <t xml:space="preserve">University of New Mexico</t>
  </si>
  <si>
    <t xml:space="preserve">Ashley D. Hernandez</t>
  </si>
  <si>
    <t xml:space="preserve">A5060782022</t>
  </si>
  <si>
    <t xml:space="preserve">SIL Global</t>
  </si>
  <si>
    <t xml:space="preserve">Sarah Hofmeyer</t>
  </si>
  <si>
    <t xml:space="preserve">2024 University of Kansas</t>
  </si>
  <si>
    <t xml:space="preserve">Sarah L. Hofmeyer</t>
  </si>
  <si>
    <t xml:space="preserve">A5119773766</t>
  </si>
  <si>
    <t xml:space="preserve">692</t>
  </si>
  <si>
    <t xml:space="preserve">A5041149181</t>
  </si>
  <si>
    <t xml:space="preserve">A5002627002</t>
  </si>
  <si>
    <t xml:space="preserve">Sarah Lois Hofmeyer</t>
  </si>
  <si>
    <t xml:space="preserve">A5060063744</t>
  </si>
  <si>
    <t xml:space="preserve">Rafael Odlum</t>
  </si>
  <si>
    <t xml:space="preserve">1981 Harvard University</t>
  </si>
  <si>
    <t xml:space="preserve">Rafael L. Irizarry</t>
  </si>
  <si>
    <t xml:space="preserve">A5003708205</t>
  </si>
  <si>
    <t xml:space="preserve">846</t>
  </si>
  <si>
    <t xml:space="preserve">Rafael A. Irizarry</t>
  </si>
  <si>
    <t xml:space="preserve">A5135913273</t>
  </si>
  <si>
    <t xml:space="preserve">A5054612687</t>
  </si>
  <si>
    <t xml:space="preserve">A5123657105</t>
  </si>
  <si>
    <t xml:space="preserve">A5106060440</t>
  </si>
  <si>
    <t xml:space="preserve">Aarthi Janakiraman</t>
  </si>
  <si>
    <t xml:space="preserve">A5122399082</t>
  </si>
  <si>
    <t xml:space="preserve">429</t>
  </si>
  <si>
    <t xml:space="preserve">A5021456838</t>
  </si>
  <si>
    <t xml:space="preserve">A5117103770</t>
  </si>
  <si>
    <t xml:space="preserve">Nabil Kamel</t>
  </si>
  <si>
    <t xml:space="preserve">2004 UCLA</t>
  </si>
  <si>
    <t xml:space="preserve">A5098101053</t>
  </si>
  <si>
    <t xml:space="preserve">1028</t>
  </si>
  <si>
    <t xml:space="preserve">A5003878536</t>
  </si>
  <si>
    <t xml:space="preserve">A5097371904</t>
  </si>
  <si>
    <t xml:space="preserve">NABIL KAMEL MURALI MOHAN NARASIPURA</t>
  </si>
  <si>
    <t xml:space="preserve">A5033653963</t>
  </si>
  <si>
    <t xml:space="preserve">Nabil A. M. Al Kamel</t>
  </si>
  <si>
    <t xml:space="preserve">A5055792513</t>
  </si>
  <si>
    <t xml:space="preserve">Badji Mokhtar-Annaba University</t>
  </si>
  <si>
    <t xml:space="preserve">Dohyung Kim</t>
  </si>
  <si>
    <t xml:space="preserve">Cal Poly, Pomona</t>
  </si>
  <si>
    <t xml:space="preserve">2005 University of Florida</t>
  </si>
  <si>
    <t xml:space="preserve">A5100607740</t>
  </si>
  <si>
    <t xml:space="preserve">Ulsan College</t>
  </si>
  <si>
    <t xml:space="preserve">40</t>
  </si>
  <si>
    <t xml:space="preserve">A5100607741</t>
  </si>
  <si>
    <t xml:space="preserve">A5100607750</t>
  </si>
  <si>
    <t xml:space="preserve">Chungbuk National University</t>
  </si>
  <si>
    <t xml:space="preserve">A5100607752</t>
  </si>
  <si>
    <t xml:space="preserve">Pusan National University Yangsan Hospital</t>
  </si>
  <si>
    <t xml:space="preserve">A5100607742</t>
  </si>
  <si>
    <t xml:space="preserve">Hun Kim</t>
  </si>
  <si>
    <t xml:space="preserve">2015 UC Berkeley</t>
  </si>
  <si>
    <t xml:space="preserve">A5100752486</t>
  </si>
  <si>
    <t xml:space="preserve">451</t>
  </si>
  <si>
    <t xml:space="preserve">Jae Hun Kim</t>
  </si>
  <si>
    <t xml:space="preserve">A5110645519</t>
  </si>
  <si>
    <t xml:space="preserve">Kyungpook National University</t>
  </si>
  <si>
    <t xml:space="preserve">Jong‐Hun Kim</t>
  </si>
  <si>
    <t xml:space="preserve">A5052025293</t>
  </si>
  <si>
    <t xml:space="preserve">Agency for Defense Development</t>
  </si>
  <si>
    <t xml:space="preserve">Jeong Hun Kim</t>
  </si>
  <si>
    <t xml:space="preserve">A5101527104</t>
  </si>
  <si>
    <t xml:space="preserve">Yonsei University</t>
  </si>
  <si>
    <t xml:space="preserve">A5100752484</t>
  </si>
  <si>
    <t xml:space="preserve">Hanyang University</t>
  </si>
  <si>
    <t xml:space="preserve">David King</t>
  </si>
  <si>
    <t xml:space="preserve">David A. King</t>
  </si>
  <si>
    <t xml:space="preserve">A5026257733</t>
  </si>
  <si>
    <t xml:space="preserve">15</t>
  </si>
  <si>
    <t xml:space="preserve">A5040097416</t>
  </si>
  <si>
    <t xml:space="preserve">James Cook University</t>
  </si>
  <si>
    <t xml:space="preserve">David I. King</t>
  </si>
  <si>
    <t xml:space="preserve">A5052427448</t>
  </si>
  <si>
    <t xml:space="preserve">US Forest Service</t>
  </si>
  <si>
    <t xml:space="preserve">A5044369021</t>
  </si>
  <si>
    <t xml:space="preserve">A5074596019</t>
  </si>
  <si>
    <t xml:space="preserve">Cleary Larkin</t>
  </si>
  <si>
    <t xml:space="preserve">2019 University of Florida</t>
  </si>
  <si>
    <t xml:space="preserve">A5092771240</t>
  </si>
  <si>
    <t xml:space="preserve">634</t>
  </si>
  <si>
    <t xml:space="preserve">Patrick Lawrence</t>
  </si>
  <si>
    <t xml:space="preserve">1996 University of Waterloo</t>
  </si>
  <si>
    <t xml:space="preserve">Patrick L. Lawrence</t>
  </si>
  <si>
    <t xml:space="preserve">A5043568452</t>
  </si>
  <si>
    <t xml:space="preserve">902</t>
  </si>
  <si>
    <t xml:space="preserve">Patrick G. Lawrence</t>
  </si>
  <si>
    <t xml:space="preserve">A5085557350</t>
  </si>
  <si>
    <t xml:space="preserve">Montana State University</t>
  </si>
  <si>
    <t xml:space="preserve">Patrick B. Lawrence</t>
  </si>
  <si>
    <t xml:space="preserve">A5069923369</t>
  </si>
  <si>
    <t xml:space="preserve">Patrick Lawrence Spence</t>
  </si>
  <si>
    <t xml:space="preserve">A5103952379</t>
  </si>
  <si>
    <t xml:space="preserve">Patrick A. Lawrence</t>
  </si>
  <si>
    <t xml:space="preserve">A5054585473</t>
  </si>
  <si>
    <t xml:space="preserve">Sungmin Lee</t>
  </si>
  <si>
    <t xml:space="preserve">A5128912634</t>
  </si>
  <si>
    <t xml:space="preserve">381</t>
  </si>
  <si>
    <t xml:space="preserve">A5106700972</t>
  </si>
  <si>
    <t xml:space="preserve">A5100708046</t>
  </si>
  <si>
    <t xml:space="preserve">A5022835351</t>
  </si>
  <si>
    <t xml:space="preserve">A5041328042</t>
  </si>
  <si>
    <t xml:space="preserve">David Lewis</t>
  </si>
  <si>
    <t xml:space="preserve">State University of New York at Albany</t>
  </si>
  <si>
    <t xml:space="preserve">2003 Rutgers University</t>
  </si>
  <si>
    <t xml:space="preserve">A5020081385</t>
  </si>
  <si>
    <t xml:space="preserve">Trinity College Dublin</t>
  </si>
  <si>
    <t xml:space="preserve">372</t>
  </si>
  <si>
    <t xml:space="preserve">David A. Lewis</t>
  </si>
  <si>
    <t xml:space="preserve">A5101719896</t>
  </si>
  <si>
    <t xml:space="preserve">Royal Brisbane and Women's Hospital</t>
  </si>
  <si>
    <t xml:space="preserve">A5009434691</t>
  </si>
  <si>
    <t xml:space="preserve">Flinders University</t>
  </si>
  <si>
    <t xml:space="preserve">A5101417889</t>
  </si>
  <si>
    <t xml:space="preserve">University of Exeter</t>
  </si>
  <si>
    <t xml:space="preserve">David J. Lewis</t>
  </si>
  <si>
    <t xml:space="preserve">A5016971671</t>
  </si>
  <si>
    <t xml:space="preserve">Oregon State University</t>
  </si>
  <si>
    <t xml:space="preserve">Rebecca Lewis</t>
  </si>
  <si>
    <t xml:space="preserve">2011 University of Maryland</t>
  </si>
  <si>
    <t xml:space="preserve">A5002461889</t>
  </si>
  <si>
    <t xml:space="preserve">Public Policy Institute of California</t>
  </si>
  <si>
    <t xml:space="preserve">817</t>
  </si>
  <si>
    <t xml:space="preserve">Rebecca N. Lewis</t>
  </si>
  <si>
    <t xml:space="preserve">A5060575832</t>
  </si>
  <si>
    <t xml:space="preserve">Chester Zoo</t>
  </si>
  <si>
    <t xml:space="preserve">Rebecca S. Lewis</t>
  </si>
  <si>
    <t xml:space="preserve">A5112514797</t>
  </si>
  <si>
    <t xml:space="preserve">A5079126831</t>
  </si>
  <si>
    <t xml:space="preserve">Institute of Cancer Research</t>
  </si>
  <si>
    <t xml:space="preserve">A5023693688</t>
  </si>
  <si>
    <t xml:space="preserve">John Lewis</t>
  </si>
  <si>
    <t xml:space="preserve">University of Waterloo, Ontario</t>
  </si>
  <si>
    <t xml:space="preserve">2006 University of British Columbia</t>
  </si>
  <si>
    <t xml:space="preserve">John L. Lewis</t>
  </si>
  <si>
    <t xml:space="preserve">A5103437114</t>
  </si>
  <si>
    <t xml:space="preserve">University of Waterloo</t>
  </si>
  <si>
    <t xml:space="preserve">953</t>
  </si>
  <si>
    <t xml:space="preserve">A5057936203</t>
  </si>
  <si>
    <t xml:space="preserve">John Lewis McAdoo</t>
  </si>
  <si>
    <t xml:space="preserve">A5086968933</t>
  </si>
  <si>
    <t xml:space="preserve">John E. Lewis</t>
  </si>
  <si>
    <t xml:space="preserve">A5029550387</t>
  </si>
  <si>
    <t xml:space="preserve">A5049295104</t>
  </si>
  <si>
    <t xml:space="preserve">Xijing Li</t>
  </si>
  <si>
    <t xml:space="preserve">2024 UNC</t>
  </si>
  <si>
    <t xml:space="preserve">A5147204232</t>
  </si>
  <si>
    <t xml:space="preserve">California State Polytechnic University</t>
  </si>
  <si>
    <t xml:space="preserve">42</t>
  </si>
  <si>
    <t xml:space="preserve">A5045286041</t>
  </si>
  <si>
    <t xml:space="preserve">Guizhou University</t>
  </si>
  <si>
    <t xml:space="preserve">A5136182860</t>
  </si>
  <si>
    <t xml:space="preserve">A5067585461</t>
  </si>
  <si>
    <t xml:space="preserve">A5147695929</t>
  </si>
  <si>
    <t xml:space="preserve">Rui Li</t>
  </si>
  <si>
    <t xml:space="preserve">2012 Pennsylvania State University</t>
  </si>
  <si>
    <t xml:space="preserve">A5100448482</t>
  </si>
  <si>
    <t xml:space="preserve">373</t>
  </si>
  <si>
    <t xml:space="preserve">A5100448563</t>
  </si>
  <si>
    <t xml:space="preserve">California Institute of Technology</t>
  </si>
  <si>
    <t xml:space="preserve">A5100448602</t>
  </si>
  <si>
    <t xml:space="preserve">Beijing Technology and Business University</t>
  </si>
  <si>
    <t xml:space="preserve">A5100758991</t>
  </si>
  <si>
    <t xml:space="preserve">Shihezi University</t>
  </si>
  <si>
    <t xml:space="preserve">A5100758993</t>
  </si>
  <si>
    <t xml:space="preserve">Sun Yat-sen University</t>
  </si>
  <si>
    <t xml:space="preserve">Wei Li</t>
  </si>
  <si>
    <t xml:space="preserve">2011 UC Irvine</t>
  </si>
  <si>
    <t xml:space="preserve">A5100318166</t>
  </si>
  <si>
    <t xml:space="preserve">Yale University</t>
  </si>
  <si>
    <t xml:space="preserve">384</t>
  </si>
  <si>
    <t xml:space="preserve">A5109869303</t>
  </si>
  <si>
    <t xml:space="preserve">Fudan University</t>
  </si>
  <si>
    <t xml:space="preserve">A5100318024</t>
  </si>
  <si>
    <t xml:space="preserve">A5100318019</t>
  </si>
  <si>
    <t xml:space="preserve">Ministry of Education of the People's Republic of China</t>
  </si>
  <si>
    <t xml:space="preserve">A5100318158</t>
  </si>
  <si>
    <t xml:space="preserve">Tianjin University</t>
  </si>
  <si>
    <t xml:space="preserve">Jenny Liu</t>
  </si>
  <si>
    <t xml:space="preserve">2010 UC Berkeley</t>
  </si>
  <si>
    <t xml:space="preserve">Jenny H. Liu</t>
  </si>
  <si>
    <t xml:space="preserve">A5072604421</t>
  </si>
  <si>
    <t xml:space="preserve">296</t>
  </si>
  <si>
    <t xml:space="preserve">A5101921215</t>
  </si>
  <si>
    <t xml:space="preserve">Institute on Aging</t>
  </si>
  <si>
    <t xml:space="preserve">A5134487915</t>
  </si>
  <si>
    <t xml:space="preserve">A5121532501</t>
  </si>
  <si>
    <t xml:space="preserve">Missouri University of Science and Technology</t>
  </si>
  <si>
    <t xml:space="preserve">Jenny Hsing-I Liu</t>
  </si>
  <si>
    <t xml:space="preserve">A5079437104</t>
  </si>
  <si>
    <t xml:space="preserve">Michael Mendez</t>
  </si>
  <si>
    <t xml:space="preserve">Michael Méndez</t>
  </si>
  <si>
    <t xml:space="preserve">A5110819827</t>
  </si>
  <si>
    <t xml:space="preserve">458</t>
  </si>
  <si>
    <t xml:space="preserve">A5024675811</t>
  </si>
  <si>
    <t xml:space="preserve">Michael Méndez-Rivera</t>
  </si>
  <si>
    <t xml:space="preserve">A5015679157</t>
  </si>
  <si>
    <t xml:space="preserve">Universidad de Costa Rica</t>
  </si>
  <si>
    <t xml:space="preserve">A5100467800</t>
  </si>
  <si>
    <t xml:space="preserve">A5140903333</t>
  </si>
  <si>
    <t xml:space="preserve">Urban Institute</t>
  </si>
  <si>
    <t xml:space="preserve">Edmund Merem</t>
  </si>
  <si>
    <t xml:space="preserve">2003 Jackson State University</t>
  </si>
  <si>
    <t xml:space="preserve">Edmund C. Merem</t>
  </si>
  <si>
    <t xml:space="preserve">A5134418069</t>
  </si>
  <si>
    <t xml:space="preserve">172</t>
  </si>
  <si>
    <t xml:space="preserve">A5126153449</t>
  </si>
  <si>
    <t xml:space="preserve">Suzanne Morse Moomaw</t>
  </si>
  <si>
    <t xml:space="preserve">1982 University of Alabama</t>
  </si>
  <si>
    <t xml:space="preserve">A5071929486</t>
  </si>
  <si>
    <t xml:space="preserve">928</t>
  </si>
  <si>
    <t xml:space="preserve">John Park</t>
  </si>
  <si>
    <t xml:space="preserve">2017 Texas A&amp;M</t>
  </si>
  <si>
    <t xml:space="preserve">A5034431014</t>
  </si>
  <si>
    <t xml:space="preserve">California Baptist University</t>
  </si>
  <si>
    <t xml:space="preserve">731</t>
  </si>
  <si>
    <t xml:space="preserve">John L. Park</t>
  </si>
  <si>
    <t xml:space="preserve">A5079693592</t>
  </si>
  <si>
    <t xml:space="preserve">John Park Roberts</t>
  </si>
  <si>
    <t xml:space="preserve">A5046057771</t>
  </si>
  <si>
    <t xml:space="preserve">University of North Carolina Wilmington</t>
  </si>
  <si>
    <t xml:space="preserve">A5130863216</t>
  </si>
  <si>
    <t xml:space="preserve">Houston Methodist</t>
  </si>
  <si>
    <t xml:space="preserve">John S. Park</t>
  </si>
  <si>
    <t xml:space="preserve">A5074605256</t>
  </si>
  <si>
    <t xml:space="preserve">Kami Pothukuchi</t>
  </si>
  <si>
    <t xml:space="preserve">1995 University of Michigan</t>
  </si>
  <si>
    <t xml:space="preserve">A5030207290</t>
  </si>
  <si>
    <t xml:space="preserve">1020</t>
  </si>
  <si>
    <t xml:space="preserve">Joyce Pressley</t>
  </si>
  <si>
    <t xml:space="preserve">1994 University of Pennsylvania</t>
  </si>
  <si>
    <t xml:space="preserve">Joyce Ann Pressley</t>
  </si>
  <si>
    <t xml:space="preserve">A5081607544</t>
  </si>
  <si>
    <t xml:space="preserve">5</t>
  </si>
  <si>
    <t xml:space="preserve">A5067257452</t>
  </si>
  <si>
    <t xml:space="preserve">Joyce C. Pressley</t>
  </si>
  <si>
    <t xml:space="preserve">A5048837775</t>
  </si>
  <si>
    <t xml:space="preserve">Columbia University Irving Medical Center</t>
  </si>
  <si>
    <t xml:space="preserve">Francois Proulx</t>
  </si>
  <si>
    <t xml:space="preserve">2009 Université Laval</t>
  </si>
  <si>
    <t xml:space="preserve">François Proulx</t>
  </si>
  <si>
    <t xml:space="preserve">A5102844859</t>
  </si>
  <si>
    <t xml:space="preserve">Bibliothèque et Archives nationales du Québec</t>
  </si>
  <si>
    <t xml:space="preserve">544</t>
  </si>
  <si>
    <t xml:space="preserve">François Therriault‐Proulx</t>
  </si>
  <si>
    <t xml:space="preserve">A5015907260</t>
  </si>
  <si>
    <t xml:space="preserve">Medscape</t>
  </si>
  <si>
    <t xml:space="preserve">A5099372847</t>
  </si>
  <si>
    <t xml:space="preserve">A5099375825</t>
  </si>
  <si>
    <t xml:space="preserve">A5099367183</t>
  </si>
  <si>
    <t xml:space="preserve">Daniel Rodriguez</t>
  </si>
  <si>
    <t xml:space="preserve">2000 University of Michigan</t>
  </si>
  <si>
    <t xml:space="preserve">Daniel Rodríguez</t>
  </si>
  <si>
    <t xml:space="preserve">A5074468125</t>
  </si>
  <si>
    <t xml:space="preserve">Military University Nueva Granada</t>
  </si>
  <si>
    <t xml:space="preserve">446</t>
  </si>
  <si>
    <t xml:space="preserve">Daniel Rodriguez-Segura</t>
  </si>
  <si>
    <t xml:space="preserve">A5034907247</t>
  </si>
  <si>
    <t xml:space="preserve">Virginia Department of Education</t>
  </si>
  <si>
    <t xml:space="preserve">A5101925707</t>
  </si>
  <si>
    <t xml:space="preserve">Daniel Rodríguez‐Agudo</t>
  </si>
  <si>
    <t xml:space="preserve">A5054241961</t>
  </si>
  <si>
    <t xml:space="preserve">A5033472437</t>
  </si>
  <si>
    <t xml:space="preserve">Universidad de Alcalá</t>
  </si>
  <si>
    <t xml:space="preserve">Hugo Sarmiento</t>
  </si>
  <si>
    <t xml:space="preserve">2023 UCLA</t>
  </si>
  <si>
    <t xml:space="preserve">A5075348602</t>
  </si>
  <si>
    <t xml:space="preserve">66</t>
  </si>
  <si>
    <t xml:space="preserve">A5085609128</t>
  </si>
  <si>
    <t xml:space="preserve">Hugo E. Sarmiento‐Jiménez</t>
  </si>
  <si>
    <t xml:space="preserve">A5033898282</t>
  </si>
  <si>
    <t xml:space="preserve">Instituto Tecnológico de Oaxaca</t>
  </si>
  <si>
    <t xml:space="preserve">Hugo Sarmiento Vela</t>
  </si>
  <si>
    <t xml:space="preserve">A5124480705</t>
  </si>
  <si>
    <t xml:space="preserve">A5148139918</t>
  </si>
  <si>
    <t xml:space="preserve">John Shapiro</t>
  </si>
  <si>
    <t xml:space="preserve">Pratt Institute</t>
  </si>
  <si>
    <t xml:space="preserve">1979 Pratt Institute</t>
  </si>
  <si>
    <t xml:space="preserve">A5025086879</t>
  </si>
  <si>
    <t xml:space="preserve">306</t>
  </si>
  <si>
    <t xml:space="preserve">A5072912146</t>
  </si>
  <si>
    <t xml:space="preserve">John T. Shapiro</t>
  </si>
  <si>
    <t xml:space="preserve">A5045440387</t>
  </si>
  <si>
    <t xml:space="preserve">JOHN L. SHAPIRO</t>
  </si>
  <si>
    <t xml:space="preserve">A5021651218</t>
  </si>
  <si>
    <t xml:space="preserve">John M. Shapiro</t>
  </si>
  <si>
    <t xml:space="preserve">A5025114039</t>
  </si>
  <si>
    <t xml:space="preserve">Alison Smith</t>
  </si>
  <si>
    <t xml:space="preserve">2010 Auburn University</t>
  </si>
  <si>
    <t xml:space="preserve">A5033392915</t>
  </si>
  <si>
    <t xml:space="preserve">William &amp; Mary</t>
  </si>
  <si>
    <t xml:space="preserve">646</t>
  </si>
  <si>
    <t xml:space="preserve">A5101541374</t>
  </si>
  <si>
    <t xml:space="preserve">A5104097433</t>
  </si>
  <si>
    <t xml:space="preserve">University of Cambridge</t>
  </si>
  <si>
    <t xml:space="preserve">Alison M. Smith</t>
  </si>
  <si>
    <t xml:space="preserve">A5103502855</t>
  </si>
  <si>
    <t xml:space="preserve">A5056219478</t>
  </si>
  <si>
    <t xml:space="preserve">Louisiana State University in Shreveport</t>
  </si>
  <si>
    <t xml:space="preserve">Lily Song</t>
  </si>
  <si>
    <t xml:space="preserve">2020 MIT</t>
  </si>
  <si>
    <t xml:space="preserve">A5119371379</t>
  </si>
  <si>
    <t xml:space="preserve">268</t>
  </si>
  <si>
    <t xml:space="preserve">A5068297670</t>
  </si>
  <si>
    <t xml:space="preserve">A5130385571</t>
  </si>
  <si>
    <t xml:space="preserve">A5107927394</t>
  </si>
  <si>
    <t xml:space="preserve">Lily R.-H. Song</t>
  </si>
  <si>
    <t xml:space="preserve">A5064059059</t>
  </si>
  <si>
    <t xml:space="preserve">Pfizer (United States)</t>
  </si>
  <si>
    <t xml:space="preserve">Ashley Steffens</t>
  </si>
  <si>
    <t xml:space="preserve">1994 University of Georgia</t>
  </si>
  <si>
    <t xml:space="preserve">A5028369118</t>
  </si>
  <si>
    <t xml:space="preserve">647</t>
  </si>
  <si>
    <t xml:space="preserve">A5071127114</t>
  </si>
  <si>
    <t xml:space="preserve">Robert Summers</t>
  </si>
  <si>
    <t xml:space="preserve">2005 University of Guelph</t>
  </si>
  <si>
    <t xml:space="preserve">A5017496956</t>
  </si>
  <si>
    <t xml:space="preserve">574</t>
  </si>
  <si>
    <t xml:space="preserve">Robert S. Summers</t>
  </si>
  <si>
    <t xml:space="preserve">A5029960592</t>
  </si>
  <si>
    <t xml:space="preserve">A5104070568</t>
  </si>
  <si>
    <t xml:space="preserve">Sefako Makgatho Health Sciences University</t>
  </si>
  <si>
    <t xml:space="preserve">Robert M. Summers</t>
  </si>
  <si>
    <t xml:space="preserve">A5044378029</t>
  </si>
  <si>
    <t xml:space="preserve">Robert J. Summers</t>
  </si>
  <si>
    <t xml:space="preserve">A5057925236</t>
  </si>
  <si>
    <t xml:space="preserve">University of Derby</t>
  </si>
  <si>
    <t xml:space="preserve">Zhenghong Tang</t>
  </si>
  <si>
    <t xml:space="preserve">University of Nebraska</t>
  </si>
  <si>
    <t xml:space="preserve">2007 Texas A&amp;M</t>
  </si>
  <si>
    <t xml:space="preserve">A5103783263</t>
  </si>
  <si>
    <t xml:space="preserve">University of Nebraska–Lincoln</t>
  </si>
  <si>
    <t xml:space="preserve">789</t>
  </si>
  <si>
    <t xml:space="preserve">A5134209259</t>
  </si>
  <si>
    <t xml:space="preserve">A5137642299</t>
  </si>
  <si>
    <t xml:space="preserve">A5002591515</t>
  </si>
  <si>
    <t xml:space="preserve">A5134872800</t>
  </si>
  <si>
    <t xml:space="preserve">Laura Taylor</t>
  </si>
  <si>
    <t xml:space="preserve">2007 University of Toronto</t>
  </si>
  <si>
    <t xml:space="preserve">Laura E. Taylor</t>
  </si>
  <si>
    <t xml:space="preserve">A5070891342</t>
  </si>
  <si>
    <t xml:space="preserve">1048</t>
  </si>
  <si>
    <t xml:space="preserve">Laura A. Taylor</t>
  </si>
  <si>
    <t xml:space="preserve">A5076731802</t>
  </si>
  <si>
    <t xml:space="preserve">Laura D. Taylor</t>
  </si>
  <si>
    <t xml:space="preserve">A5073445803</t>
  </si>
  <si>
    <t xml:space="preserve">Office of Patient Care Services</t>
  </si>
  <si>
    <t xml:space="preserve">A5109423856</t>
  </si>
  <si>
    <t xml:space="preserve">British Antarctic Survey</t>
  </si>
  <si>
    <t xml:space="preserve">Laura Anne Taylor</t>
  </si>
  <si>
    <t xml:space="preserve">A5060226181</t>
  </si>
  <si>
    <t xml:space="preserve">Chicago Kent College of Law</t>
  </si>
  <si>
    <t xml:space="preserve">Talya Thomas</t>
  </si>
  <si>
    <t xml:space="preserve">2011 Texas Southern University</t>
  </si>
  <si>
    <t xml:space="preserve">A5136973473</t>
  </si>
  <si>
    <t xml:space="preserve">173</t>
  </si>
  <si>
    <t xml:space="preserve">Marques Vestal</t>
  </si>
  <si>
    <t xml:space="preserve">2020 UCLA</t>
  </si>
  <si>
    <t xml:space="preserve">A5114641487</t>
  </si>
  <si>
    <t xml:space="preserve">505</t>
  </si>
  <si>
    <t xml:space="preserve">Marques A Vestal</t>
  </si>
  <si>
    <t xml:space="preserve">A5029592404</t>
  </si>
  <si>
    <t xml:space="preserve">A5093767479</t>
  </si>
  <si>
    <t xml:space="preserve">Marques Augusta Vestal</t>
  </si>
  <si>
    <t xml:space="preserve">A5020952587</t>
  </si>
  <si>
    <t xml:space="preserve">Yan Wang</t>
  </si>
  <si>
    <t xml:space="preserve">2018 Virginia Tech</t>
  </si>
  <si>
    <t xml:space="preserve">A5100322555</t>
  </si>
  <si>
    <t xml:space="preserve">Shenyang Pharmaceutical University</t>
  </si>
  <si>
    <t xml:space="preserve">640</t>
  </si>
  <si>
    <t xml:space="preserve">A5100322630</t>
  </si>
  <si>
    <t xml:space="preserve">A5100322900</t>
  </si>
  <si>
    <t xml:space="preserve">Hefei University of Technology</t>
  </si>
  <si>
    <t xml:space="preserve">A5100322712</t>
  </si>
  <si>
    <t xml:space="preserve">A5100322888</t>
  </si>
  <si>
    <t xml:space="preserve">Worcester Polytechnic Institute</t>
  </si>
  <si>
    <t xml:space="preserve">La Barbara Wigfall</t>
  </si>
  <si>
    <t xml:space="preserve">1977 Harvard University</t>
  </si>
  <si>
    <t xml:space="preserve">La Barbara James Wigfall</t>
  </si>
  <si>
    <t xml:space="preserve">A5058785006</t>
  </si>
  <si>
    <t xml:space="preserve">179</t>
  </si>
  <si>
    <t xml:space="preserve">La Barbara Wigfall Fly</t>
  </si>
  <si>
    <t xml:space="preserve">A5096020839</t>
  </si>
  <si>
    <t xml:space="preserve">A5097548354</t>
  </si>
  <si>
    <t xml:space="preserve">La Barbara James Wigfall Assoc Prof</t>
  </si>
  <si>
    <t xml:space="preserve">A5046157674</t>
  </si>
  <si>
    <t xml:space="preserve">Ming Zhang</t>
  </si>
  <si>
    <t xml:space="preserve">University of Texas, Austin</t>
  </si>
  <si>
    <t xml:space="preserve">2002 MIT</t>
  </si>
  <si>
    <t xml:space="preserve">A5053902230</t>
  </si>
  <si>
    <t xml:space="preserve">China Three Gorges University</t>
  </si>
  <si>
    <t xml:space="preserve">896</t>
  </si>
  <si>
    <t xml:space="preserve">A5100642537</t>
  </si>
  <si>
    <t xml:space="preserve">A5100620621</t>
  </si>
  <si>
    <t xml:space="preserve">ON Semiconductor (United States)</t>
  </si>
  <si>
    <t xml:space="preserve">A5100447273</t>
  </si>
  <si>
    <t xml:space="preserve">Beijing Agricultural Machinery Research Institute</t>
  </si>
  <si>
    <t xml:space="preserve">A5100447253</t>
  </si>
  <si>
    <t xml:space="preserve">Yang Zhang</t>
  </si>
  <si>
    <t xml:space="preserve">Virginia Tech</t>
  </si>
  <si>
    <t xml:space="preserve">2006 Texas A&amp;M</t>
  </si>
  <si>
    <t xml:space="preserve">A5100354734</t>
  </si>
  <si>
    <t xml:space="preserve">1014</t>
  </si>
  <si>
    <t xml:space="preserve">A5100354683</t>
  </si>
  <si>
    <t xml:space="preserve">Dalian University of Technology</t>
  </si>
  <si>
    <t xml:space="preserve">A5100354659</t>
  </si>
  <si>
    <t xml:space="preserve">A5100354630</t>
  </si>
  <si>
    <t xml:space="preserve">Qinghai University</t>
  </si>
  <si>
    <t xml:space="preserve">A5100354569</t>
  </si>
  <si>
    <t xml:space="preserve">D. Only a near-empty record</t>
  </si>
  <si>
    <t xml:space="preserve">Richard Alomar</t>
  </si>
  <si>
    <t xml:space="preserve">1994 Louisiana State University</t>
  </si>
  <si>
    <t xml:space="preserve">A5067304714</t>
  </si>
  <si>
    <t xml:space="preserve">339</t>
  </si>
  <si>
    <t xml:space="preserve">A5096138337</t>
  </si>
  <si>
    <t xml:space="preserve">Jessica Barudin</t>
  </si>
  <si>
    <t xml:space="preserve">2024 Concordia University</t>
  </si>
  <si>
    <t xml:space="preserve">A5074989743</t>
  </si>
  <si>
    <t xml:space="preserve">586</t>
  </si>
  <si>
    <t xml:space="preserve">John Benhart</t>
  </si>
  <si>
    <t xml:space="preserve">1995 University of Tennessee</t>
  </si>
  <si>
    <t xml:space="preserve">A5080473731</t>
  </si>
  <si>
    <t xml:space="preserve">155</t>
  </si>
  <si>
    <t xml:space="preserve">John E. Benhart</t>
  </si>
  <si>
    <t xml:space="preserve">A5010156025</t>
  </si>
  <si>
    <t xml:space="preserve">Shippensburg University</t>
  </si>
  <si>
    <t xml:space="preserve">Anna Bierbrauer</t>
  </si>
  <si>
    <t xml:space="preserve">2022 University of Colorado, Denver</t>
  </si>
  <si>
    <t xml:space="preserve">A5015918077</t>
  </si>
  <si>
    <t xml:space="preserve">University of Denver</t>
  </si>
  <si>
    <t xml:space="preserve">963</t>
  </si>
  <si>
    <t xml:space="preserve">A5107474617</t>
  </si>
  <si>
    <t xml:space="preserve">University of Wisconsin–Madison</t>
  </si>
  <si>
    <t xml:space="preserve">Fernando Burga</t>
  </si>
  <si>
    <t xml:space="preserve">2013 UC Berkeley</t>
  </si>
  <si>
    <t xml:space="preserve">A5044182346</t>
  </si>
  <si>
    <t xml:space="preserve">773</t>
  </si>
  <si>
    <t xml:space="preserve">Hector Fernando Burga</t>
  </si>
  <si>
    <t xml:space="preserve">A5001000970</t>
  </si>
  <si>
    <t xml:space="preserve">A5117356261</t>
  </si>
  <si>
    <t xml:space="preserve">A5066963472</t>
  </si>
  <si>
    <t xml:space="preserve">A5004593431</t>
  </si>
  <si>
    <t xml:space="preserve">Brian Conz</t>
  </si>
  <si>
    <t xml:space="preserve">Westfield State University</t>
  </si>
  <si>
    <t xml:space="preserve">2008 University of Massachusetts, Amherst</t>
  </si>
  <si>
    <t xml:space="preserve">Brian W. Conz</t>
  </si>
  <si>
    <t xml:space="preserve">A5044911662</t>
  </si>
  <si>
    <t xml:space="preserve">1034</t>
  </si>
  <si>
    <t xml:space="preserve">A5049840320</t>
  </si>
  <si>
    <t xml:space="preserve">A5091912481</t>
  </si>
  <si>
    <t xml:space="preserve">Gary Coutu</t>
  </si>
  <si>
    <t xml:space="preserve">West Chester University</t>
  </si>
  <si>
    <t xml:space="preserve">2001 Texas A&amp;M</t>
  </si>
  <si>
    <t xml:space="preserve">Gary W. Coutu</t>
  </si>
  <si>
    <t xml:space="preserve">A5034365795</t>
  </si>
  <si>
    <t xml:space="preserve">1021</t>
  </si>
  <si>
    <t xml:space="preserve">A5000882687</t>
  </si>
  <si>
    <t xml:space="preserve">A5062731189</t>
  </si>
  <si>
    <t xml:space="preserve">Alissa Ujie Diamond</t>
  </si>
  <si>
    <t xml:space="preserve">2024 University of Virginia</t>
  </si>
  <si>
    <t xml:space="preserve">A5036525328</t>
  </si>
  <si>
    <t xml:space="preserve">548</t>
  </si>
  <si>
    <t xml:space="preserve">A5114456928</t>
  </si>
  <si>
    <t xml:space="preserve">A5115430315</t>
  </si>
  <si>
    <t xml:space="preserve">Jenna Dublin-Boc</t>
  </si>
  <si>
    <t xml:space="preserve">2020 Columbia University</t>
  </si>
  <si>
    <t xml:space="preserve">Jenna L. Dublin-Boc</t>
  </si>
  <si>
    <t xml:space="preserve">A5092949360</t>
  </si>
  <si>
    <t xml:space="preserve">348</t>
  </si>
  <si>
    <t xml:space="preserve">A5115732615</t>
  </si>
  <si>
    <t xml:space="preserve">Benoît Frate</t>
  </si>
  <si>
    <t xml:space="preserve">2010 University of Ottawa</t>
  </si>
  <si>
    <t xml:space="preserve">A5030554974</t>
  </si>
  <si>
    <t xml:space="preserve">855</t>
  </si>
  <si>
    <t xml:space="preserve">A5044744062</t>
  </si>
  <si>
    <t xml:space="preserve">A5093751708</t>
  </si>
  <si>
    <t xml:space="preserve">A5133191090</t>
  </si>
  <si>
    <t xml:space="preserve">Kirk Harris</t>
  </si>
  <si>
    <t xml:space="preserve">1992 Cornell University</t>
  </si>
  <si>
    <t xml:space="preserve">Kirk E. Harris</t>
  </si>
  <si>
    <t xml:space="preserve">A5087544477</t>
  </si>
  <si>
    <t xml:space="preserve">975</t>
  </si>
  <si>
    <t xml:space="preserve">A5027666083</t>
  </si>
  <si>
    <t xml:space="preserve">Susquehanna University</t>
  </si>
  <si>
    <t xml:space="preserve">A5022678205</t>
  </si>
  <si>
    <t xml:space="preserve">Kirk, Harris Elliott, 1872-1953</t>
  </si>
  <si>
    <t xml:space="preserve">A5147223830</t>
  </si>
  <si>
    <t xml:space="preserve">A5018151237</t>
  </si>
  <si>
    <t xml:space="preserve">Richard Hoch</t>
  </si>
  <si>
    <t xml:space="preserve">2005 West Virginia University</t>
  </si>
  <si>
    <t xml:space="preserve">Richard J. Hoch</t>
  </si>
  <si>
    <t xml:space="preserve">A5027486496</t>
  </si>
  <si>
    <t xml:space="preserve">157</t>
  </si>
  <si>
    <t xml:space="preserve">Richard James Hoch</t>
  </si>
  <si>
    <t xml:space="preserve">A5144669046</t>
  </si>
  <si>
    <t xml:space="preserve">West Virginia University</t>
  </si>
  <si>
    <t xml:space="preserve">A5019694491</t>
  </si>
  <si>
    <t xml:space="preserve">Florida Institute of Technology</t>
  </si>
  <si>
    <t xml:space="preserve">Richard L. Hoch</t>
  </si>
  <si>
    <t xml:space="preserve">A5027794797</t>
  </si>
  <si>
    <t xml:space="preserve">Heather Khan-Welsh</t>
  </si>
  <si>
    <t xml:space="preserve">Eastern Michigan University</t>
  </si>
  <si>
    <t xml:space="preserve">2008 Florida State University</t>
  </si>
  <si>
    <t xml:space="preserve">A5074843401</t>
  </si>
  <si>
    <t xml:space="preserve">97</t>
  </si>
  <si>
    <t xml:space="preserve">Heather Khan Welsh</t>
  </si>
  <si>
    <t xml:space="preserve">A5085573979</t>
  </si>
  <si>
    <t xml:space="preserve">Cara Michell</t>
  </si>
  <si>
    <t xml:space="preserve">2016 Harvard University</t>
  </si>
  <si>
    <t xml:space="preserve">A5092903872</t>
  </si>
  <si>
    <t xml:space="preserve">263</t>
  </si>
  <si>
    <t xml:space="preserve">Cara E Michell</t>
  </si>
  <si>
    <t xml:space="preserve">A5099147677</t>
  </si>
  <si>
    <t xml:space="preserve">Kaitlyn Alvarez Noli</t>
  </si>
  <si>
    <t xml:space="preserve">2020 UC Irvine</t>
  </si>
  <si>
    <t xml:space="preserve">A5025328042</t>
  </si>
  <si>
    <t xml:space="preserve">264</t>
  </si>
  <si>
    <t xml:space="preserve">Victor Perez-Amado</t>
  </si>
  <si>
    <t xml:space="preserve">2019 Harvard University</t>
  </si>
  <si>
    <t xml:space="preserve">A5106812179</t>
  </si>
  <si>
    <t xml:space="preserve">414</t>
  </si>
  <si>
    <t xml:space="preserve">Victor Perez‐Amado</t>
  </si>
  <si>
    <t xml:space="preserve">A5125128602</t>
  </si>
  <si>
    <t xml:space="preserve">A5117516751</t>
  </si>
  <si>
    <t xml:space="preserve">Victor Perez Amado</t>
  </si>
  <si>
    <t xml:space="preserve">A5078722689</t>
  </si>
  <si>
    <t xml:space="preserve">Ariadna Reyes-Sanchez</t>
  </si>
  <si>
    <t xml:space="preserve">2019 University of Texas, Austin</t>
  </si>
  <si>
    <t xml:space="preserve">A5072055173</t>
  </si>
  <si>
    <t xml:space="preserve">882</t>
  </si>
  <si>
    <t xml:space="preserve">A5140491892</t>
  </si>
  <si>
    <t xml:space="preserve">Anahita Shadkam</t>
  </si>
  <si>
    <t xml:space="preserve">2024 University of Waterloo</t>
  </si>
  <si>
    <t xml:space="preserve">A5006018870</t>
  </si>
  <si>
    <t xml:space="preserve">California Polytechnic State University</t>
  </si>
  <si>
    <t xml:space="preserve">50</t>
  </si>
  <si>
    <t xml:space="preserve">A5124872388</t>
  </si>
  <si>
    <t xml:space="preserve">A5084450283</t>
  </si>
  <si>
    <t xml:space="preserve">Tonya Sanders Thach</t>
  </si>
  <si>
    <t xml:space="preserve">2012 University of Illinois, Chicago</t>
  </si>
  <si>
    <t xml:space="preserve">A5098846388</t>
  </si>
  <si>
    <t xml:space="preserve">246</t>
  </si>
  <si>
    <t xml:space="preserve">A5138268724</t>
  </si>
  <si>
    <t xml:space="preserve">E. Weak name match</t>
  </si>
  <si>
    <t xml:space="preserve">Eve Baron</t>
  </si>
  <si>
    <t xml:space="preserve">Marie-Ève Baron</t>
  </si>
  <si>
    <t xml:space="preserve">A5050749020</t>
  </si>
  <si>
    <t xml:space="preserve">302</t>
  </si>
  <si>
    <t xml:space="preserve">Karen Chen</t>
  </si>
  <si>
    <t xml:space="preserve">2020 Aarhus University</t>
  </si>
  <si>
    <t xml:space="preserve">Tzu‐Hsin Karen Chen</t>
  </si>
  <si>
    <t xml:space="preserve">A5012655879</t>
  </si>
  <si>
    <t xml:space="preserve">938</t>
  </si>
  <si>
    <t xml:space="preserve">Karen Caiyun Chen</t>
  </si>
  <si>
    <t xml:space="preserve">A5037227044</t>
  </si>
  <si>
    <t xml:space="preserve">A5084653699</t>
  </si>
  <si>
    <t xml:space="preserve">Karen Hui-Jung Chen</t>
  </si>
  <si>
    <t xml:space="preserve">A5080002019</t>
  </si>
  <si>
    <t xml:space="preserve">National Taipei University of Education</t>
  </si>
  <si>
    <t xml:space="preserve">A5104493531</t>
  </si>
  <si>
    <t xml:space="preserve">Spinal Muscular Atrophy Foundation</t>
  </si>
  <si>
    <t xml:space="preserve">Scott Granberg-Rademacker</t>
  </si>
  <si>
    <t xml:space="preserve">2002 University of Nebraska</t>
  </si>
  <si>
    <t xml:space="preserve">J. Scott Granberg‐Rademacker</t>
  </si>
  <si>
    <t xml:space="preserve">A5084071713</t>
  </si>
  <si>
    <t xml:space="preserve">202</t>
  </si>
  <si>
    <t xml:space="preserve">Michel Guenet</t>
  </si>
  <si>
    <t xml:space="preserve">1990 Universite Laval</t>
  </si>
  <si>
    <t xml:space="preserve">A5028096392</t>
  </si>
  <si>
    <t xml:space="preserve">525</t>
  </si>
  <si>
    <t xml:space="preserve">Jean-Michel Guenet</t>
  </si>
  <si>
    <t xml:space="preserve">A5112780261</t>
  </si>
  <si>
    <t xml:space="preserve">Jean Michel Guenet</t>
  </si>
  <si>
    <t xml:space="preserve">A5111754466</t>
  </si>
  <si>
    <t xml:space="preserve">Jean‐Michel Guenet</t>
  </si>
  <si>
    <t xml:space="preserve">A5078577632</t>
  </si>
  <si>
    <t xml:space="preserve">Kathleen John-Alder</t>
  </si>
  <si>
    <t xml:space="preserve">2008 Yale University</t>
  </si>
  <si>
    <t xml:space="preserve">Kathleen John–Alder</t>
  </si>
  <si>
    <t xml:space="preserve">A5017443877</t>
  </si>
  <si>
    <t xml:space="preserve">Rutgers Sexual and Reproductive Health and Rights</t>
  </si>
  <si>
    <t xml:space="preserve">343</t>
  </si>
  <si>
    <t xml:space="preserve">Kathleen John‐Alder</t>
  </si>
  <si>
    <t xml:space="preserve">A5083152850</t>
  </si>
  <si>
    <t xml:space="preserve">RJ Koscielniak</t>
  </si>
  <si>
    <t xml:space="preserve">2020 University of Michigan</t>
  </si>
  <si>
    <t xml:space="preserve">Michael Koscielniak</t>
  </si>
  <si>
    <t xml:space="preserve">A5047256402</t>
  </si>
  <si>
    <t xml:space="preserve">98</t>
  </si>
  <si>
    <t xml:space="preserve">Aujean Lee</t>
  </si>
  <si>
    <t xml:space="preserve">2018 UCLA</t>
  </si>
  <si>
    <t xml:space="preserve">C. Aujean Lee</t>
  </si>
  <si>
    <t xml:space="preserve">A5075115194</t>
  </si>
  <si>
    <t xml:space="preserve">923</t>
  </si>
  <si>
    <t xml:space="preserve">Christina Aujean Lee</t>
  </si>
  <si>
    <t xml:space="preserve">A5050588605</t>
  </si>
  <si>
    <t xml:space="preserve">William Lester</t>
  </si>
  <si>
    <t xml:space="preserve">2009 UC Berkeley</t>
  </si>
  <si>
    <t xml:space="preserve">T. William Lester</t>
  </si>
  <si>
    <t xml:space="preserve">A5068355127</t>
  </si>
  <si>
    <t xml:space="preserve">455</t>
  </si>
  <si>
    <t xml:space="preserve">William Stewart Lester</t>
  </si>
  <si>
    <t xml:space="preserve">A5037034635</t>
  </si>
  <si>
    <t xml:space="preserve">William F. Lester</t>
  </si>
  <si>
    <t xml:space="preserve">A5080805976</t>
  </si>
  <si>
    <t xml:space="preserve">William L. Lester</t>
  </si>
  <si>
    <t xml:space="preserve">A5083832129</t>
  </si>
  <si>
    <t xml:space="preserve">William Lester. Percifield</t>
  </si>
  <si>
    <t xml:space="preserve">A5059349300</t>
  </si>
  <si>
    <t xml:space="preserve">Joe Qian</t>
  </si>
  <si>
    <t xml:space="preserve">2008 Texas A&amp;M</t>
  </si>
  <si>
    <t xml:space="preserve">Michelle Joe Qian Cheah</t>
  </si>
  <si>
    <t xml:space="preserve">A5072030073</t>
  </si>
  <si>
    <t xml:space="preserve">Manipal University College Malaysia</t>
  </si>
  <si>
    <t xml:space="preserve">960</t>
  </si>
  <si>
    <t xml:space="preserve">Manuel Rodriguez</t>
  </si>
  <si>
    <t xml:space="preserve">1996 Université Laval</t>
  </si>
  <si>
    <t xml:space="preserve">José Manuel Rodríguez Caballero</t>
  </si>
  <si>
    <t xml:space="preserve">A5064285122</t>
  </si>
  <si>
    <t xml:space="preserve">Universidad de Las Palmas de Gran Canaria</t>
  </si>
  <si>
    <t xml:space="preserve">545</t>
  </si>
  <si>
    <t xml:space="preserve">Manuel Rodríguez</t>
  </si>
  <si>
    <t xml:space="preserve">A5100646631</t>
  </si>
  <si>
    <t xml:space="preserve">EIA University</t>
  </si>
  <si>
    <t xml:space="preserve">Manuel Rodríguez Pastor</t>
  </si>
  <si>
    <t xml:space="preserve">A5100702006</t>
  </si>
  <si>
    <t xml:space="preserve">University of Alicante</t>
  </si>
  <si>
    <t xml:space="preserve">Manuel Gomez-Rodriguez</t>
  </si>
  <si>
    <t xml:space="preserve">A5042180520</t>
  </si>
  <si>
    <t xml:space="preserve">Max Planck Institute for Software Systems</t>
  </si>
  <si>
    <t xml:space="preserve">Joan Manuel Rodríguez-Díaz</t>
  </si>
  <si>
    <t xml:space="preserve">A5078581080</t>
  </si>
  <si>
    <t xml:space="preserve">Universidad Estatal Amazónica</t>
  </si>
  <si>
    <t xml:space="preserve">Bryna Sanger</t>
  </si>
  <si>
    <t xml:space="preserve">1976 Brandeis University</t>
  </si>
  <si>
    <t xml:space="preserve">Mary Bryna Sanger</t>
  </si>
  <si>
    <t xml:space="preserve">A5005260414</t>
  </si>
  <si>
    <t xml:space="preserve">Purdue University West Lafayette</t>
  </si>
  <si>
    <t xml:space="preserve">404</t>
  </si>
  <si>
    <t xml:space="preserve">Revel Sims</t>
  </si>
  <si>
    <t xml:space="preserve">2014 UCLA</t>
  </si>
  <si>
    <t xml:space="preserve">J. Revel Sims</t>
  </si>
  <si>
    <t xml:space="preserve">A5052438575</t>
  </si>
  <si>
    <t xml:space="preserve">972</t>
  </si>
  <si>
    <t xml:space="preserve">A5035113690</t>
  </si>
  <si>
    <t xml:space="preserve">Sevin Yildiz</t>
  </si>
  <si>
    <t xml:space="preserve">2014 Rutgers University</t>
  </si>
  <si>
    <t xml:space="preserve">Şevin Yıldız</t>
  </si>
  <si>
    <t xml:space="preserve">A5030696367</t>
  </si>
  <si>
    <t xml:space="preserve">University of Illinois System</t>
  </si>
  <si>
    <t xml:space="preserve">678</t>
  </si>
  <si>
    <t xml:space="preserve">A5037334757</t>
  </si>
  <si>
    <t xml:space="preserve">A5138263739</t>
  </si>
  <si>
    <t xml:space="preserve">A5140704453</t>
  </si>
  <si>
    <t xml:space="preserve">F. No OpenAlex record found</t>
  </si>
  <si>
    <t xml:space="preserve">Dina Adbulkarim</t>
  </si>
  <si>
    <t xml:space="preserve">2012 Ohio State University</t>
  </si>
  <si>
    <t xml:space="preserve">(none found)</t>
  </si>
  <si>
    <t xml:space="preserve">36</t>
  </si>
  <si>
    <t xml:space="preserve">Aurora Echavarria Canales</t>
  </si>
  <si>
    <t xml:space="preserve">110</t>
  </si>
  <si>
    <t xml:space="preserve">Chryl Corbin</t>
  </si>
  <si>
    <t xml:space="preserve">291</t>
  </si>
  <si>
    <t xml:space="preserve">Maggie Cowell</t>
  </si>
  <si>
    <t xml:space="preserve">2010 Cornell University</t>
  </si>
  <si>
    <t xml:space="preserve">1005</t>
  </si>
  <si>
    <t xml:space="preserve">Christopher DeSousa</t>
  </si>
  <si>
    <t xml:space="preserve">2000 University of Toronto</t>
  </si>
  <si>
    <t xml:space="preserve">408</t>
  </si>
  <si>
    <t xml:space="preserve">Chris Giamarino</t>
  </si>
  <si>
    <t xml:space="preserve">38</t>
  </si>
  <si>
    <t xml:space="preserve">Miriam Giottonini-Badilla</t>
  </si>
  <si>
    <t xml:space="preserve">51</t>
  </si>
  <si>
    <t xml:space="preserve">Joseph Grengs</t>
  </si>
  <si>
    <t xml:space="preserve">2002 Cornell University</t>
  </si>
  <si>
    <t xml:space="preserve">760</t>
  </si>
  <si>
    <t xml:space="preserve">Patrick Hunnicut</t>
  </si>
  <si>
    <t xml:space="preserve">2022 UCSB</t>
  </si>
  <si>
    <t xml:space="preserve">813</t>
  </si>
  <si>
    <t xml:space="preserve">Samuel Ndegeah</t>
  </si>
  <si>
    <t xml:space="preserve">2015 University of Idaho</t>
  </si>
  <si>
    <t xml:space="preserve">1037</t>
  </si>
  <si>
    <t xml:space="preserve">Greg Newmark</t>
  </si>
  <si>
    <t xml:space="preserve">243</t>
  </si>
  <si>
    <t xml:space="preserve">Anna Paula Pimentel Walker</t>
  </si>
  <si>
    <t xml:space="preserve">2013 UC San Diego</t>
  </si>
  <si>
    <t xml:space="preserve">768</t>
  </si>
  <si>
    <t xml:space="preserve">Chris Quattro</t>
  </si>
  <si>
    <t xml:space="preserve">2023 University of Pennsylvania</t>
  </si>
  <si>
    <t xml:space="preserve">7</t>
  </si>
  <si>
    <t xml:space="preserve">Mary Schlemper</t>
  </si>
  <si>
    <t xml:space="preserve">2003 University of Wisconsin, Madison</t>
  </si>
  <si>
    <t xml:space="preserve">905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</si>
</sst>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u val="single"/>
      <sz val="10"/>
      <color rgb="FF0563C1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E8EEF2"/>
        <bgColor rgb="FFFFFFFF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4D"/>
          <bgColor rgb="FF000000"/>
        </patternFill>
      </fill>
    </dxf>
    <dxf>
      <fill>
        <patternFill patternType="solid">
          <fgColor rgb="FFE8EE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7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E8EEF2"/>
      <rgbColor rgb="FF660066"/>
      <rgbColor rgb="FFFF8080"/>
      <rgbColor rgb="FF0563C1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upp.uic.edu/" TargetMode="External"/><Relationship Id="rId2" Type="http://schemas.openxmlformats.org/officeDocument/2006/relationships/hyperlink" Target="https://openalex.org/A5089853346" TargetMode="External"/><Relationship Id="rId3" Type="http://schemas.openxmlformats.org/officeDocument/2006/relationships/hyperlink" Target="https://openalex.org/A5126547844" TargetMode="External"/><Relationship Id="rId4" Type="http://schemas.openxmlformats.org/officeDocument/2006/relationships/hyperlink" Target="https://openalex.org/A5109390088" TargetMode="External"/><Relationship Id="rId5" Type="http://schemas.openxmlformats.org/officeDocument/2006/relationships/hyperlink" Target="https://openalex.org/A5056680846" TargetMode="External"/><Relationship Id="rId6" Type="http://schemas.openxmlformats.org/officeDocument/2006/relationships/hyperlink" Target="https://openalex.org/A5042214231" TargetMode="External"/><Relationship Id="rId7" Type="http://schemas.openxmlformats.org/officeDocument/2006/relationships/hyperlink" Target="http://urbdp.be.washington.edu/" TargetMode="External"/><Relationship Id="rId8" Type="http://schemas.openxmlformats.org/officeDocument/2006/relationships/hyperlink" Target="https://openalex.org/A5087736214" TargetMode="External"/><Relationship Id="rId9" Type="http://schemas.openxmlformats.org/officeDocument/2006/relationships/hyperlink" Target="https://openalex.org/A5037072529" TargetMode="External"/><Relationship Id="rId10" Type="http://schemas.openxmlformats.org/officeDocument/2006/relationships/hyperlink" Target="https://openalex.org/A5014935940" TargetMode="External"/><Relationship Id="rId11" Type="http://schemas.openxmlformats.org/officeDocument/2006/relationships/hyperlink" Target="https://openalex.org/A5065697603" TargetMode="External"/><Relationship Id="rId12" Type="http://schemas.openxmlformats.org/officeDocument/2006/relationships/hyperlink" Target="https://openalex.org/A5140773643" TargetMode="External"/><Relationship Id="rId13" Type="http://schemas.openxmlformats.org/officeDocument/2006/relationships/hyperlink" Target="http://memphis.edu/planning/" TargetMode="External"/><Relationship Id="rId14" Type="http://schemas.openxmlformats.org/officeDocument/2006/relationships/hyperlink" Target="https://openalex.org/A5039582865" TargetMode="External"/><Relationship Id="rId15" Type="http://schemas.openxmlformats.org/officeDocument/2006/relationships/hyperlink" Target="https://openalex.org/A5056839902" TargetMode="External"/><Relationship Id="rId16" Type="http://schemas.openxmlformats.org/officeDocument/2006/relationships/hyperlink" Target="http://planning.eas.ualberta.ca/" TargetMode="External"/><Relationship Id="rId17" Type="http://schemas.openxmlformats.org/officeDocument/2006/relationships/hyperlink" Target="https://openalex.org/A5013138501" TargetMode="External"/><Relationship Id="rId18" Type="http://schemas.openxmlformats.org/officeDocument/2006/relationships/hyperlink" Target="https://openalex.org/A5041043221" TargetMode="External"/><Relationship Id="rId19" Type="http://schemas.openxmlformats.org/officeDocument/2006/relationships/hyperlink" Target="https://openalex.org/A5130904400" TargetMode="External"/><Relationship Id="rId20" Type="http://schemas.openxmlformats.org/officeDocument/2006/relationships/hyperlink" Target="https://openalex.org/A5121004778" TargetMode="External"/><Relationship Id="rId21" Type="http://schemas.openxmlformats.org/officeDocument/2006/relationships/hyperlink" Target="https://openalex.org/A5028998983" TargetMode="External"/><Relationship Id="rId22" Type="http://schemas.openxmlformats.org/officeDocument/2006/relationships/hyperlink" Target="http://luskin.ucla.edu/urban-planning" TargetMode="External"/><Relationship Id="rId23" Type="http://schemas.openxmlformats.org/officeDocument/2006/relationships/hyperlink" Target="https://openalex.org/A5080264291" TargetMode="External"/><Relationship Id="rId24" Type="http://schemas.openxmlformats.org/officeDocument/2006/relationships/hyperlink" Target="https://openalex.org/A5137629448" TargetMode="External"/><Relationship Id="rId25" Type="http://schemas.openxmlformats.org/officeDocument/2006/relationships/hyperlink" Target="https://openalex.org/A5135492732" TargetMode="External"/><Relationship Id="rId26" Type="http://schemas.openxmlformats.org/officeDocument/2006/relationships/hyperlink" Target="http://ced.berkeley.edu/academics/city-regional-planning/" TargetMode="External"/><Relationship Id="rId27" Type="http://schemas.openxmlformats.org/officeDocument/2006/relationships/hyperlink" Target="https://openalex.org/A5011453865" TargetMode="External"/><Relationship Id="rId28" Type="http://schemas.openxmlformats.org/officeDocument/2006/relationships/hyperlink" Target="https://openalex.org/A5077305910" TargetMode="External"/><Relationship Id="rId29" Type="http://schemas.openxmlformats.org/officeDocument/2006/relationships/hyperlink" Target="https://openalex.org/A5114290226" TargetMode="External"/><Relationship Id="rId30" Type="http://schemas.openxmlformats.org/officeDocument/2006/relationships/hyperlink" Target="https://openalex.org/A5104996243" TargetMode="External"/><Relationship Id="rId31" Type="http://schemas.openxmlformats.org/officeDocument/2006/relationships/hyperlink" Target="https://openalex.org/A5104996457" TargetMode="External"/><Relationship Id="rId32" Type="http://schemas.openxmlformats.org/officeDocument/2006/relationships/hyperlink" Target="http://taubmancollege.umich.edu/urbanplanning" TargetMode="External"/><Relationship Id="rId33" Type="http://schemas.openxmlformats.org/officeDocument/2006/relationships/hyperlink" Target="https://openalex.org/A5040964918" TargetMode="External"/><Relationship Id="rId34" Type="http://schemas.openxmlformats.org/officeDocument/2006/relationships/hyperlink" Target="https://openalex.org/A5003617821" TargetMode="External"/><Relationship Id="rId35" Type="http://schemas.openxmlformats.org/officeDocument/2006/relationships/hyperlink" Target="https://openalex.org/A5012790394" TargetMode="External"/><Relationship Id="rId36" Type="http://schemas.openxmlformats.org/officeDocument/2006/relationships/hyperlink" Target="https://openalex.org/A5025717563" TargetMode="External"/><Relationship Id="rId37" Type="http://schemas.openxmlformats.org/officeDocument/2006/relationships/hyperlink" Target="https://openalex.org/A5111589818" TargetMode="External"/><Relationship Id="rId38" Type="http://schemas.openxmlformats.org/officeDocument/2006/relationships/hyperlink" Target="https://www.design.upenn.edu/city-regional-planning/graduate/work" TargetMode="External"/><Relationship Id="rId39" Type="http://schemas.openxmlformats.org/officeDocument/2006/relationships/hyperlink" Target="https://openalex.org/A5077734625" TargetMode="External"/><Relationship Id="rId40" Type="http://schemas.openxmlformats.org/officeDocument/2006/relationships/hyperlink" Target="https://openalex.org/A5135637090" TargetMode="External"/><Relationship Id="rId41" Type="http://schemas.openxmlformats.org/officeDocument/2006/relationships/hyperlink" Target="https://wilder.vcu.edu/programs/urban-and-regional-studies-planning/" TargetMode="External"/><Relationship Id="rId42" Type="http://schemas.openxmlformats.org/officeDocument/2006/relationships/hyperlink" Target="https://openalex.org/A5036924709" TargetMode="External"/><Relationship Id="rId43" Type="http://schemas.openxmlformats.org/officeDocument/2006/relationships/hyperlink" Target="https://openalex.org/A5101692806" TargetMode="External"/><Relationship Id="rId44" Type="http://schemas.openxmlformats.org/officeDocument/2006/relationships/hyperlink" Target="https://openalex.org/A5043119394" TargetMode="External"/><Relationship Id="rId45" Type="http://schemas.openxmlformats.org/officeDocument/2006/relationships/hyperlink" Target="https://openalex.org/A5019759111" TargetMode="External"/><Relationship Id="rId46" Type="http://schemas.openxmlformats.org/officeDocument/2006/relationships/hyperlink" Target="https://openalex.org/A5078225705" TargetMode="External"/><Relationship Id="rId47" Type="http://schemas.openxmlformats.org/officeDocument/2006/relationships/hyperlink" Target="http://knowlton.osu.edu/programs/city-and-regional-planning" TargetMode="External"/><Relationship Id="rId48" Type="http://schemas.openxmlformats.org/officeDocument/2006/relationships/hyperlink" Target="https://openalex.org/A5102888009" TargetMode="External"/><Relationship Id="rId49" Type="http://schemas.openxmlformats.org/officeDocument/2006/relationships/hyperlink" Target="https://openalex.org/A5057852842" TargetMode="External"/><Relationship Id="rId50" Type="http://schemas.openxmlformats.org/officeDocument/2006/relationships/hyperlink" Target="https://openalex.org/A5067809524" TargetMode="External"/><Relationship Id="rId51" Type="http://schemas.openxmlformats.org/officeDocument/2006/relationships/hyperlink" Target="https://openalex.org/A5101760558" TargetMode="External"/><Relationship Id="rId52" Type="http://schemas.openxmlformats.org/officeDocument/2006/relationships/hyperlink" Target="https://openalex.org/A5110041004" TargetMode="External"/><Relationship Id="rId53" Type="http://schemas.openxmlformats.org/officeDocument/2006/relationships/hyperlink" Target="http://manoa.hawaii.edu/durp/" TargetMode="External"/><Relationship Id="rId54" Type="http://schemas.openxmlformats.org/officeDocument/2006/relationships/hyperlink" Target="https://openalex.org/A5039842908" TargetMode="External"/><Relationship Id="rId55" Type="http://schemas.openxmlformats.org/officeDocument/2006/relationships/hyperlink" Target="https://openalex.org/A5036840918" TargetMode="External"/><Relationship Id="rId56" Type="http://schemas.openxmlformats.org/officeDocument/2006/relationships/hyperlink" Target="https://openalex.org/A5014180091" TargetMode="External"/><Relationship Id="rId57" Type="http://schemas.openxmlformats.org/officeDocument/2006/relationships/hyperlink" Target="https://openalex.org/A5123329700" TargetMode="External"/><Relationship Id="rId58" Type="http://schemas.openxmlformats.org/officeDocument/2006/relationships/hyperlink" Target="https://openalex.org/A5134303400" TargetMode="External"/><Relationship Id="rId59" Type="http://schemas.openxmlformats.org/officeDocument/2006/relationships/hyperlink" Target="http://manoa.hawaii.edu/durp/" TargetMode="External"/><Relationship Id="rId60" Type="http://schemas.openxmlformats.org/officeDocument/2006/relationships/hyperlink" Target="https://openalex.org/A5085634129" TargetMode="External"/><Relationship Id="rId61" Type="http://schemas.openxmlformats.org/officeDocument/2006/relationships/hyperlink" Target="https://openalex.org/A5045747223" TargetMode="External"/><Relationship Id="rId62" Type="http://schemas.openxmlformats.org/officeDocument/2006/relationships/hyperlink" Target="https://openalex.org/A5080251065" TargetMode="External"/><Relationship Id="rId63" Type="http://schemas.openxmlformats.org/officeDocument/2006/relationships/hyperlink" Target="https://openalex.org/A5059661645" TargetMode="External"/><Relationship Id="rId64" Type="http://schemas.openxmlformats.org/officeDocument/2006/relationships/hyperlink" Target="https://openalex.org/A5133175982" TargetMode="External"/><Relationship Id="rId65" Type="http://schemas.openxmlformats.org/officeDocument/2006/relationships/hyperlink" Target="http://gsd.harvard.edu/" TargetMode="External"/><Relationship Id="rId66" Type="http://schemas.openxmlformats.org/officeDocument/2006/relationships/hyperlink" Target="https://openalex.org/A5043951137" TargetMode="External"/><Relationship Id="rId67" Type="http://schemas.openxmlformats.org/officeDocument/2006/relationships/hyperlink" Target="https://openalex.org/A5109102523" TargetMode="External"/><Relationship Id="rId68" Type="http://schemas.openxmlformats.org/officeDocument/2006/relationships/hyperlink" Target="https://openalex.org/A5039900862" TargetMode="External"/><Relationship Id="rId69" Type="http://schemas.openxmlformats.org/officeDocument/2006/relationships/hyperlink" Target="https://openalex.org/A5031863744" TargetMode="External"/><Relationship Id="rId70" Type="http://schemas.openxmlformats.org/officeDocument/2006/relationships/hyperlink" Target="https://openalex.org/A5065542788" TargetMode="External"/><Relationship Id="rId71" Type="http://schemas.openxmlformats.org/officeDocument/2006/relationships/hyperlink" Target="http://ase.tufts.edu/uep/" TargetMode="External"/><Relationship Id="rId72" Type="http://schemas.openxmlformats.org/officeDocument/2006/relationships/hyperlink" Target="https://openalex.org/A5114251093" TargetMode="External"/><Relationship Id="rId73" Type="http://schemas.openxmlformats.org/officeDocument/2006/relationships/hyperlink" Target="https://openalex.org/A5103531940" TargetMode="External"/><Relationship Id="rId74" Type="http://schemas.openxmlformats.org/officeDocument/2006/relationships/hyperlink" Target="https://openalex.org/A5011623992" TargetMode="External"/><Relationship Id="rId75" Type="http://schemas.openxmlformats.org/officeDocument/2006/relationships/hyperlink" Target="https://openalex.org/A5043269088" TargetMode="External"/><Relationship Id="rId76" Type="http://schemas.openxmlformats.org/officeDocument/2006/relationships/hyperlink" Target="https://openalex.org/A5065327053" TargetMode="External"/><Relationship Id="rId77" Type="http://schemas.openxmlformats.org/officeDocument/2006/relationships/hyperlink" Target="https://artsandscience.usask.ca/geography/undergraduates/regional-and-urban-planning.php" TargetMode="External"/><Relationship Id="rId78" Type="http://schemas.openxmlformats.org/officeDocument/2006/relationships/hyperlink" Target="https://openalex.org/A5011657661" TargetMode="External"/><Relationship Id="rId79" Type="http://schemas.openxmlformats.org/officeDocument/2006/relationships/hyperlink" Target="https://openalex.org/A5135292063" TargetMode="External"/><Relationship Id="rId80" Type="http://schemas.openxmlformats.org/officeDocument/2006/relationships/hyperlink" Target="https://openalex.org/A5092596422" TargetMode="External"/><Relationship Id="rId81" Type="http://schemas.openxmlformats.org/officeDocument/2006/relationships/hyperlink" Target="https://openalex.org/A5113380088" TargetMode="External"/><Relationship Id="rId82" Type="http://schemas.openxmlformats.org/officeDocument/2006/relationships/hyperlink" Target="https://www.design.upenn.edu/city-regional-planning/graduate/work" TargetMode="External"/><Relationship Id="rId83" Type="http://schemas.openxmlformats.org/officeDocument/2006/relationships/hyperlink" Target="https://openalex.org/A5013899552" TargetMode="External"/><Relationship Id="rId84" Type="http://schemas.openxmlformats.org/officeDocument/2006/relationships/hyperlink" Target="https://openalex.org/A5046911671" TargetMode="External"/><Relationship Id="rId85" Type="http://schemas.openxmlformats.org/officeDocument/2006/relationships/hyperlink" Target="https://openalex.org/A5100566198" TargetMode="External"/><Relationship Id="rId86" Type="http://schemas.openxmlformats.org/officeDocument/2006/relationships/hyperlink" Target="https://openalex.org/A5136577779" TargetMode="External"/><Relationship Id="rId87" Type="http://schemas.openxmlformats.org/officeDocument/2006/relationships/hyperlink" Target="https://openalex.org/A5128916995" TargetMode="External"/><Relationship Id="rId88" Type="http://schemas.openxmlformats.org/officeDocument/2006/relationships/hyperlink" Target="https://environment.umb.edu/graduate-programs/urban-planning-and-community-development-ms" TargetMode="External"/><Relationship Id="rId89" Type="http://schemas.openxmlformats.org/officeDocument/2006/relationships/hyperlink" Target="https://openalex.org/A5059342159" TargetMode="External"/><Relationship Id="rId90" Type="http://schemas.openxmlformats.org/officeDocument/2006/relationships/hyperlink" Target="https://openalex.org/A5103532680" TargetMode="External"/><Relationship Id="rId91" Type="http://schemas.openxmlformats.org/officeDocument/2006/relationships/hyperlink" Target="https://openalex.org/A5035629877" TargetMode="External"/><Relationship Id="rId92" Type="http://schemas.openxmlformats.org/officeDocument/2006/relationships/hyperlink" Target="https://openalex.org/A5005368944" TargetMode="External"/><Relationship Id="rId93" Type="http://schemas.openxmlformats.org/officeDocument/2006/relationships/hyperlink" Target="https://openalex.org/A5000208273" TargetMode="External"/><Relationship Id="rId94" Type="http://schemas.openxmlformats.org/officeDocument/2006/relationships/hyperlink" Target="https://www.esad.ulaval.ca/en" TargetMode="External"/><Relationship Id="rId95" Type="http://schemas.openxmlformats.org/officeDocument/2006/relationships/hyperlink" Target="https://openalex.org/A5068219276" TargetMode="External"/><Relationship Id="rId96" Type="http://schemas.openxmlformats.org/officeDocument/2006/relationships/hyperlink" Target="https://openalex.org/A5082852817" TargetMode="External"/><Relationship Id="rId97" Type="http://schemas.openxmlformats.org/officeDocument/2006/relationships/hyperlink" Target="https://openalex.org/A5100925769" TargetMode="External"/><Relationship Id="rId98" Type="http://schemas.openxmlformats.org/officeDocument/2006/relationships/hyperlink" Target="https://openalex.org/A5078491303" TargetMode="External"/><Relationship Id="rId99" Type="http://schemas.openxmlformats.org/officeDocument/2006/relationships/hyperlink" Target="https://openalex.org/A5101865358" TargetMode="External"/><Relationship Id="rId100" Type="http://schemas.openxmlformats.org/officeDocument/2006/relationships/hyperlink" Target="http://coss.fsu.edu/durp/" TargetMode="External"/><Relationship Id="rId101" Type="http://schemas.openxmlformats.org/officeDocument/2006/relationships/hyperlink" Target="https://openalex.org/A5103007817" TargetMode="External"/><Relationship Id="rId102" Type="http://schemas.openxmlformats.org/officeDocument/2006/relationships/hyperlink" Target="https://openalex.org/A5037358522" TargetMode="External"/><Relationship Id="rId103" Type="http://schemas.openxmlformats.org/officeDocument/2006/relationships/hyperlink" Target="https://openalex.org/A5027830408" TargetMode="External"/><Relationship Id="rId104" Type="http://schemas.openxmlformats.org/officeDocument/2006/relationships/hyperlink" Target="https://openalex.org/A5048033499" TargetMode="External"/><Relationship Id="rId105" Type="http://schemas.openxmlformats.org/officeDocument/2006/relationships/hyperlink" Target="https://openalex.org/A5107894700" TargetMode="External"/><Relationship Id="rId106" Type="http://schemas.openxmlformats.org/officeDocument/2006/relationships/hyperlink" Target="http://urban.illinois.edu/" TargetMode="External"/><Relationship Id="rId107" Type="http://schemas.openxmlformats.org/officeDocument/2006/relationships/hyperlink" Target="https://openalex.org/A5111793909" TargetMode="External"/><Relationship Id="rId108" Type="http://schemas.openxmlformats.org/officeDocument/2006/relationships/hyperlink" Target="https://openalex.org/A5112580888" TargetMode="External"/><Relationship Id="rId109" Type="http://schemas.openxmlformats.org/officeDocument/2006/relationships/hyperlink" Target="https://openalex.org/A5100810336" TargetMode="External"/><Relationship Id="rId110" Type="http://schemas.openxmlformats.org/officeDocument/2006/relationships/hyperlink" Target="https://openalex.org/A5103338440" TargetMode="External"/><Relationship Id="rId111" Type="http://schemas.openxmlformats.org/officeDocument/2006/relationships/hyperlink" Target="https://openalex.org/A5102025790" TargetMode="External"/><Relationship Id="rId112" Type="http://schemas.openxmlformats.org/officeDocument/2006/relationships/hyperlink" Target="http://hhh.umn.edu/masters-degrees/master-urban-and-regional-planning" TargetMode="External"/><Relationship Id="rId113" Type="http://schemas.openxmlformats.org/officeDocument/2006/relationships/hyperlink" Target="https://openalex.org/A5076893686" TargetMode="External"/><Relationship Id="rId114" Type="http://schemas.openxmlformats.org/officeDocument/2006/relationships/hyperlink" Target="https://openalex.org/A5109222674" TargetMode="External"/><Relationship Id="rId115" Type="http://schemas.openxmlformats.org/officeDocument/2006/relationships/hyperlink" Target="https://openalex.org/A5136842184" TargetMode="External"/><Relationship Id="rId116" Type="http://schemas.openxmlformats.org/officeDocument/2006/relationships/hyperlink" Target="https://openalex.org/A5135509576" TargetMode="External"/><Relationship Id="rId117" Type="http://schemas.openxmlformats.org/officeDocument/2006/relationships/hyperlink" Target="https://openalex.org/A5147551867" TargetMode="External"/><Relationship Id="rId118" Type="http://schemas.openxmlformats.org/officeDocument/2006/relationships/hyperlink" Target="http://pdx.edu/usp/master-urban-and-regional-planning-murp" TargetMode="External"/><Relationship Id="rId119" Type="http://schemas.openxmlformats.org/officeDocument/2006/relationships/hyperlink" Target="https://openalex.org/A5102749932" TargetMode="External"/><Relationship Id="rId120" Type="http://schemas.openxmlformats.org/officeDocument/2006/relationships/hyperlink" Target="https://openalex.org/A5012345184" TargetMode="External"/><Relationship Id="rId121" Type="http://schemas.openxmlformats.org/officeDocument/2006/relationships/hyperlink" Target="https://openalex.org/A5140944634" TargetMode="External"/><Relationship Id="rId122" Type="http://schemas.openxmlformats.org/officeDocument/2006/relationships/hyperlink" Target="https://openalex.org/A5148103774" TargetMode="External"/><Relationship Id="rId123" Type="http://schemas.openxmlformats.org/officeDocument/2006/relationships/hyperlink" Target="https://openalex.org/A5121594083" TargetMode="External"/><Relationship Id="rId124" Type="http://schemas.openxmlformats.org/officeDocument/2006/relationships/hyperlink" Target="http://aap.cornell.edu/academics/crp" TargetMode="External"/><Relationship Id="rId125" Type="http://schemas.openxmlformats.org/officeDocument/2006/relationships/hyperlink" Target="https://openalex.org/A5042356480" TargetMode="External"/><Relationship Id="rId126" Type="http://schemas.openxmlformats.org/officeDocument/2006/relationships/hyperlink" Target="https://openalex.org/A5045995739" TargetMode="External"/><Relationship Id="rId127" Type="http://schemas.openxmlformats.org/officeDocument/2006/relationships/hyperlink" Target="https://openalex.org/A5102911810" TargetMode="External"/><Relationship Id="rId128" Type="http://schemas.openxmlformats.org/officeDocument/2006/relationships/hyperlink" Target="https://openalex.org/A5032738351" TargetMode="External"/><Relationship Id="rId129" Type="http://schemas.openxmlformats.org/officeDocument/2006/relationships/hyperlink" Target="https://openalex.org/A5101425803" TargetMode="External"/><Relationship Id="rId130" Type="http://schemas.openxmlformats.org/officeDocument/2006/relationships/hyperlink" Target="https://cssh.northeastern.edu/policyschool/program/ms-in-urban-planning-and-policy/" TargetMode="External"/><Relationship Id="rId131" Type="http://schemas.openxmlformats.org/officeDocument/2006/relationships/hyperlink" Target="https://openalex.org/A5109562143" TargetMode="External"/><Relationship Id="rId132" Type="http://schemas.openxmlformats.org/officeDocument/2006/relationships/hyperlink" Target="https://openalex.org/A5007475426" TargetMode="External"/><Relationship Id="rId133" Type="http://schemas.openxmlformats.org/officeDocument/2006/relationships/hyperlink" Target="https://openalex.org/A5016324703" TargetMode="External"/><Relationship Id="rId134" Type="http://schemas.openxmlformats.org/officeDocument/2006/relationships/hyperlink" Target="https://openalex.org/A5044267363" TargetMode="External"/><Relationship Id="rId135" Type="http://schemas.openxmlformats.org/officeDocument/2006/relationships/hyperlink" Target="https://openalex.org/A5104642185" TargetMode="External"/><Relationship Id="rId136" Type="http://schemas.openxmlformats.org/officeDocument/2006/relationships/hyperlink" Target="http://urst.sosc.laps.yorku.ca/" TargetMode="External"/><Relationship Id="rId137" Type="http://schemas.openxmlformats.org/officeDocument/2006/relationships/hyperlink" Target="https://openalex.org/A5064645168" TargetMode="External"/><Relationship Id="rId138" Type="http://schemas.openxmlformats.org/officeDocument/2006/relationships/hyperlink" Target="https://openalex.org/A5110536660" TargetMode="External"/><Relationship Id="rId139" Type="http://schemas.openxmlformats.org/officeDocument/2006/relationships/hyperlink" Target="https://openalex.org/A5003789745" TargetMode="External"/><Relationship Id="rId140" Type="http://schemas.openxmlformats.org/officeDocument/2006/relationships/hyperlink" Target="https://openalex.org/A5063910318" TargetMode="External"/><Relationship Id="rId141" Type="http://schemas.openxmlformats.org/officeDocument/2006/relationships/hyperlink" Target="https://openalex.org/A5102489414" TargetMode="External"/><Relationship Id="rId142" Type="http://schemas.openxmlformats.org/officeDocument/2006/relationships/hyperlink" Target="https://usp.ucsd.edu/" TargetMode="External"/><Relationship Id="rId143" Type="http://schemas.openxmlformats.org/officeDocument/2006/relationships/hyperlink" Target="https://openalex.org/A5029816714" TargetMode="External"/><Relationship Id="rId144" Type="http://schemas.openxmlformats.org/officeDocument/2006/relationships/hyperlink" Target="https://openalex.org/A5090363793" TargetMode="External"/><Relationship Id="rId145" Type="http://schemas.openxmlformats.org/officeDocument/2006/relationships/hyperlink" Target="https://openalex.org/A5123614612" TargetMode="External"/><Relationship Id="rId146" Type="http://schemas.openxmlformats.org/officeDocument/2006/relationships/hyperlink" Target="https://openalex.org/A5050370041" TargetMode="External"/><Relationship Id="rId147" Type="http://schemas.openxmlformats.org/officeDocument/2006/relationships/hyperlink" Target="https://openalex.org/A5075483177" TargetMode="External"/><Relationship Id="rId148" Type="http://schemas.openxmlformats.org/officeDocument/2006/relationships/hyperlink" Target="http://dcp.ufl.edu/urp/" TargetMode="External"/><Relationship Id="rId149" Type="http://schemas.openxmlformats.org/officeDocument/2006/relationships/hyperlink" Target="https://openalex.org/A5011556077" TargetMode="External"/><Relationship Id="rId150" Type="http://schemas.openxmlformats.org/officeDocument/2006/relationships/hyperlink" Target="https://openalex.org/A5086101817" TargetMode="External"/><Relationship Id="rId151" Type="http://schemas.openxmlformats.org/officeDocument/2006/relationships/hyperlink" Target="http://laup.arch.tamu.edu/" TargetMode="External"/><Relationship Id="rId152" Type="http://schemas.openxmlformats.org/officeDocument/2006/relationships/hyperlink" Target="https://openalex.org/A5012652473" TargetMode="External"/><Relationship Id="rId153" Type="http://schemas.openxmlformats.org/officeDocument/2006/relationships/hyperlink" Target="https://openalex.org/A5091141937" TargetMode="External"/><Relationship Id="rId154" Type="http://schemas.openxmlformats.org/officeDocument/2006/relationships/hyperlink" Target="https://openalex.org/A5038589018" TargetMode="External"/><Relationship Id="rId155" Type="http://schemas.openxmlformats.org/officeDocument/2006/relationships/hyperlink" Target="https://openalex.org/A5085915518" TargetMode="External"/><Relationship Id="rId156" Type="http://schemas.openxmlformats.org/officeDocument/2006/relationships/hyperlink" Target="https://openalex.org/A5028380083" TargetMode="External"/><Relationship Id="rId157" Type="http://schemas.openxmlformats.org/officeDocument/2006/relationships/hyperlink" Target="http://uoguelph.ca/sedrd/rural-planning-development" TargetMode="External"/><Relationship Id="rId158" Type="http://schemas.openxmlformats.org/officeDocument/2006/relationships/hyperlink" Target="https://openalex.org/A5040843105" TargetMode="External"/><Relationship Id="rId159" Type="http://schemas.openxmlformats.org/officeDocument/2006/relationships/hyperlink" Target="https://openalex.org/A5035631537" TargetMode="External"/><Relationship Id="rId160" Type="http://schemas.openxmlformats.org/officeDocument/2006/relationships/hyperlink" Target="https://openalex.org/A5120149859" TargetMode="External"/><Relationship Id="rId161" Type="http://schemas.openxmlformats.org/officeDocument/2006/relationships/hyperlink" Target="https://openalex.org/A5131386469" TargetMode="External"/><Relationship Id="rId162" Type="http://schemas.openxmlformats.org/officeDocument/2006/relationships/hyperlink" Target="https://openalex.org/A5132550223" TargetMode="External"/><Relationship Id="rId163" Type="http://schemas.openxmlformats.org/officeDocument/2006/relationships/hyperlink" Target="http://supa.louisville.edu/" TargetMode="External"/><Relationship Id="rId164" Type="http://schemas.openxmlformats.org/officeDocument/2006/relationships/hyperlink" Target="https://openalex.org/A5111722608" TargetMode="External"/><Relationship Id="rId165" Type="http://schemas.openxmlformats.org/officeDocument/2006/relationships/hyperlink" Target="https://openalex.org/A5112572605" TargetMode="External"/><Relationship Id="rId166" Type="http://schemas.openxmlformats.org/officeDocument/2006/relationships/hyperlink" Target="https://openalex.org/A5018318111" TargetMode="External"/><Relationship Id="rId167" Type="http://schemas.openxmlformats.org/officeDocument/2006/relationships/hyperlink" Target="https://openalex.org/A5108214588" TargetMode="External"/><Relationship Id="rId168" Type="http://schemas.openxmlformats.org/officeDocument/2006/relationships/hyperlink" Target="https://openalex.org/A5098074329" TargetMode="External"/><Relationship Id="rId169" Type="http://schemas.openxmlformats.org/officeDocument/2006/relationships/hyperlink" Target="http://priceschool.usc.edu/programs/masters/mpl/" TargetMode="External"/><Relationship Id="rId170" Type="http://schemas.openxmlformats.org/officeDocument/2006/relationships/hyperlink" Target="https://openalex.org/A5100730171" TargetMode="External"/><Relationship Id="rId171" Type="http://schemas.openxmlformats.org/officeDocument/2006/relationships/hyperlink" Target="https://openalex.org/A5070661987" TargetMode="External"/><Relationship Id="rId172" Type="http://schemas.openxmlformats.org/officeDocument/2006/relationships/hyperlink" Target="https://openalex.org/A5100730175" TargetMode="External"/><Relationship Id="rId173" Type="http://schemas.openxmlformats.org/officeDocument/2006/relationships/hyperlink" Target="https://openalex.org/A5002623954" TargetMode="External"/><Relationship Id="rId174" Type="http://schemas.openxmlformats.org/officeDocument/2006/relationships/hyperlink" Target="https://openalex.org/A5017538954" TargetMode="External"/><Relationship Id="rId175" Type="http://schemas.openxmlformats.org/officeDocument/2006/relationships/hyperlink" Target="http://memphis.edu/planning/" TargetMode="External"/><Relationship Id="rId176" Type="http://schemas.openxmlformats.org/officeDocument/2006/relationships/hyperlink" Target="https://openalex.org/A5060300040" TargetMode="External"/><Relationship Id="rId177" Type="http://schemas.openxmlformats.org/officeDocument/2006/relationships/hyperlink" Target="https://openalex.org/A5028412388" TargetMode="External"/><Relationship Id="rId178" Type="http://schemas.openxmlformats.org/officeDocument/2006/relationships/hyperlink" Target="https://openalex.org/A5041767483" TargetMode="External"/><Relationship Id="rId179" Type="http://schemas.openxmlformats.org/officeDocument/2006/relationships/hyperlink" Target="https://openalex.org/A5066709369" TargetMode="External"/><Relationship Id="rId180" Type="http://schemas.openxmlformats.org/officeDocument/2006/relationships/hyperlink" Target="https://openalex.org/A5108332138" TargetMode="External"/><Relationship Id="rId181" Type="http://schemas.openxmlformats.org/officeDocument/2006/relationships/hyperlink" Target="http://umass.edu/larp/home" TargetMode="External"/><Relationship Id="rId182" Type="http://schemas.openxmlformats.org/officeDocument/2006/relationships/hyperlink" Target="https://openalex.org/A5014893377" TargetMode="External"/><Relationship Id="rId183" Type="http://schemas.openxmlformats.org/officeDocument/2006/relationships/hyperlink" Target="https://openalex.org/A5058981502" TargetMode="External"/><Relationship Id="rId184" Type="http://schemas.openxmlformats.org/officeDocument/2006/relationships/hyperlink" Target="https://openalex.org/A5064250082" TargetMode="External"/><Relationship Id="rId185" Type="http://schemas.openxmlformats.org/officeDocument/2006/relationships/hyperlink" Target="https://earth.rowan.edu/departments/geography/" TargetMode="External"/><Relationship Id="rId186" Type="http://schemas.openxmlformats.org/officeDocument/2006/relationships/hyperlink" Target="https://openalex.org/A5087750858" TargetMode="External"/><Relationship Id="rId187" Type="http://schemas.openxmlformats.org/officeDocument/2006/relationships/hyperlink" Target="https://openalex.org/A5005304859" TargetMode="External"/><Relationship Id="rId188" Type="http://schemas.openxmlformats.org/officeDocument/2006/relationships/hyperlink" Target="https://openalex.org/A5015119426" TargetMode="External"/><Relationship Id="rId189" Type="http://schemas.openxmlformats.org/officeDocument/2006/relationships/hyperlink" Target="https://openalex.org/A5116471150" TargetMode="External"/><Relationship Id="rId190" Type="http://schemas.openxmlformats.org/officeDocument/2006/relationships/hyperlink" Target="https://openalex.org/A5116538398" TargetMode="External"/><Relationship Id="rId191" Type="http://schemas.openxmlformats.org/officeDocument/2006/relationships/hyperlink" Target="http://geography.utoronto.ca/graduate-planning/" TargetMode="External"/><Relationship Id="rId192" Type="http://schemas.openxmlformats.org/officeDocument/2006/relationships/hyperlink" Target="https://openalex.org/A5043515180" TargetMode="External"/><Relationship Id="rId193" Type="http://schemas.openxmlformats.org/officeDocument/2006/relationships/hyperlink" Target="https://openalex.org/A5123856103" TargetMode="External"/><Relationship Id="rId194" Type="http://schemas.openxmlformats.org/officeDocument/2006/relationships/hyperlink" Target="https://openalex.org/A5078021209" TargetMode="External"/><Relationship Id="rId195" Type="http://schemas.openxmlformats.org/officeDocument/2006/relationships/hyperlink" Target="https://openalex.org/A5066767326" TargetMode="External"/><Relationship Id="rId196" Type="http://schemas.openxmlformats.org/officeDocument/2006/relationships/hyperlink" Target="https://openalex.org/A5133631328" TargetMode="External"/><Relationship Id="rId197" Type="http://schemas.openxmlformats.org/officeDocument/2006/relationships/hyperlink" Target="http://plan.cap.utah.edu/" TargetMode="External"/><Relationship Id="rId198" Type="http://schemas.openxmlformats.org/officeDocument/2006/relationships/hyperlink" Target="https://openalex.org/A5072738115" TargetMode="External"/><Relationship Id="rId199" Type="http://schemas.openxmlformats.org/officeDocument/2006/relationships/hyperlink" Target="https://openalex.org/A5103164441" TargetMode="External"/><Relationship Id="rId200" Type="http://schemas.openxmlformats.org/officeDocument/2006/relationships/hyperlink" Target="https://openalex.org/A5139487858" TargetMode="External"/><Relationship Id="rId201" Type="http://schemas.openxmlformats.org/officeDocument/2006/relationships/hyperlink" Target="https://openalex.org/A5103499585" TargetMode="External"/><Relationship Id="rId202" Type="http://schemas.openxmlformats.org/officeDocument/2006/relationships/hyperlink" Target="https://openalex.org/A5022136627" TargetMode="External"/><Relationship Id="rId203" Type="http://schemas.openxmlformats.org/officeDocument/2006/relationships/hyperlink" Target="http://newschool.edu/public-engagement/ms-urban-policy-analysis-management/" TargetMode="External"/><Relationship Id="rId204" Type="http://schemas.openxmlformats.org/officeDocument/2006/relationships/hyperlink" Target="https://openalex.org/A5002461086" TargetMode="External"/><Relationship Id="rId205" Type="http://schemas.openxmlformats.org/officeDocument/2006/relationships/hyperlink" Target="https://openalex.org/A5050807378" TargetMode="External"/><Relationship Id="rId206" Type="http://schemas.openxmlformats.org/officeDocument/2006/relationships/hyperlink" Target="https://openalex.org/A5030467226" TargetMode="External"/><Relationship Id="rId207" Type="http://schemas.openxmlformats.org/officeDocument/2006/relationships/hyperlink" Target="https://openalex.org/A5103372599" TargetMode="External"/><Relationship Id="rId208" Type="http://schemas.openxmlformats.org/officeDocument/2006/relationships/hyperlink" Target="https://openalex.org/A5083549872" TargetMode="External"/><Relationship Id="rId209" Type="http://schemas.openxmlformats.org/officeDocument/2006/relationships/hyperlink" Target="http://arch.umd.edu/ursp/urban-studies-and-planning" TargetMode="External"/><Relationship Id="rId210" Type="http://schemas.openxmlformats.org/officeDocument/2006/relationships/hyperlink" Target="https://openalex.org/A5040452720" TargetMode="External"/><Relationship Id="rId211" Type="http://schemas.openxmlformats.org/officeDocument/2006/relationships/hyperlink" Target="https://openalex.org/A5103569525" TargetMode="External"/><Relationship Id="rId212" Type="http://schemas.openxmlformats.org/officeDocument/2006/relationships/hyperlink" Target="https://openalex.org/A5061495539" TargetMode="External"/><Relationship Id="rId213" Type="http://schemas.openxmlformats.org/officeDocument/2006/relationships/hyperlink" Target="https://openalex.org/A5117403225" TargetMode="External"/><Relationship Id="rId214" Type="http://schemas.openxmlformats.org/officeDocument/2006/relationships/hyperlink" Target="https://openalex.org/A5144367400" TargetMode="External"/><Relationship Id="rId215" Type="http://schemas.openxmlformats.org/officeDocument/2006/relationships/hyperlink" Target="http://dusp.mit.edu/" TargetMode="External"/><Relationship Id="rId216" Type="http://schemas.openxmlformats.org/officeDocument/2006/relationships/hyperlink" Target="https://openalex.org/A5101962232" TargetMode="External"/><Relationship Id="rId217" Type="http://schemas.openxmlformats.org/officeDocument/2006/relationships/hyperlink" Target="https://openalex.org/A5041838340" TargetMode="External"/><Relationship Id="rId218" Type="http://schemas.openxmlformats.org/officeDocument/2006/relationships/hyperlink" Target="https://openalex.org/A5058431820" TargetMode="External"/><Relationship Id="rId219" Type="http://schemas.openxmlformats.org/officeDocument/2006/relationships/hyperlink" Target="https://openalex.org/A5103711028" TargetMode="External"/><Relationship Id="rId220" Type="http://schemas.openxmlformats.org/officeDocument/2006/relationships/hyperlink" Target="https://openalex.org/A5102855398" TargetMode="External"/><Relationship Id="rId221" Type="http://schemas.openxmlformats.org/officeDocument/2006/relationships/hyperlink" Target="http://nau.edu/SBS/GPR/Degrees-Programs/Geography/" TargetMode="External"/><Relationship Id="rId222" Type="http://schemas.openxmlformats.org/officeDocument/2006/relationships/hyperlink" Target="https://openalex.org/A5042499634" TargetMode="External"/><Relationship Id="rId223" Type="http://schemas.openxmlformats.org/officeDocument/2006/relationships/hyperlink" Target="https://openalex.org/A5110051911" TargetMode="External"/><Relationship Id="rId224" Type="http://schemas.openxmlformats.org/officeDocument/2006/relationships/hyperlink" Target="https://openalex.org/A5101688217" TargetMode="External"/><Relationship Id="rId225" Type="http://schemas.openxmlformats.org/officeDocument/2006/relationships/hyperlink" Target="https://openalex.org/A5101632495" TargetMode="External"/><Relationship Id="rId226" Type="http://schemas.openxmlformats.org/officeDocument/2006/relationships/hyperlink" Target="https://openalex.org/A5144059648" TargetMode="External"/><Relationship Id="rId227" Type="http://schemas.openxmlformats.org/officeDocument/2006/relationships/hyperlink" Target="http://bloustein.rutgers.edu/graduate/uppd/" TargetMode="External"/><Relationship Id="rId228" Type="http://schemas.openxmlformats.org/officeDocument/2006/relationships/hyperlink" Target="https://openalex.org/A5039329208" TargetMode="External"/><Relationship Id="rId229" Type="http://schemas.openxmlformats.org/officeDocument/2006/relationships/hyperlink" Target="https://openalex.org/A5102858836" TargetMode="External"/><Relationship Id="rId230" Type="http://schemas.openxmlformats.org/officeDocument/2006/relationships/hyperlink" Target="https://openalex.org/A5009822349" TargetMode="External"/><Relationship Id="rId231" Type="http://schemas.openxmlformats.org/officeDocument/2006/relationships/hyperlink" Target="https://openalex.org/A5103475668" TargetMode="External"/><Relationship Id="rId232" Type="http://schemas.openxmlformats.org/officeDocument/2006/relationships/hyperlink" Target="https://openalex.org/A5111814031" TargetMode="External"/><Relationship Id="rId233" Type="http://schemas.openxmlformats.org/officeDocument/2006/relationships/hyperlink" Target="https://planning.ecu.edu/" TargetMode="External"/><Relationship Id="rId234" Type="http://schemas.openxmlformats.org/officeDocument/2006/relationships/hyperlink" Target="https://openalex.org/A5109588411" TargetMode="External"/><Relationship Id="rId235" Type="http://schemas.openxmlformats.org/officeDocument/2006/relationships/hyperlink" Target="https://openalex.org/A5052042990" TargetMode="External"/><Relationship Id="rId236" Type="http://schemas.openxmlformats.org/officeDocument/2006/relationships/hyperlink" Target="https://openalex.org/A5056740709" TargetMode="External"/><Relationship Id="rId237" Type="http://schemas.openxmlformats.org/officeDocument/2006/relationships/hyperlink" Target="https://openalex.org/A5004375416" TargetMode="External"/><Relationship Id="rId238" Type="http://schemas.openxmlformats.org/officeDocument/2006/relationships/hyperlink" Target="https://openalex.org/A5109038619" TargetMode="External"/><Relationship Id="rId239" Type="http://schemas.openxmlformats.org/officeDocument/2006/relationships/hyperlink" Target="http://bloustein.rutgers.edu/graduate/uppd/" TargetMode="External"/><Relationship Id="rId240" Type="http://schemas.openxmlformats.org/officeDocument/2006/relationships/hyperlink" Target="https://openalex.org/A5090892405" TargetMode="External"/><Relationship Id="rId241" Type="http://schemas.openxmlformats.org/officeDocument/2006/relationships/hyperlink" Target="https://openalex.org/A5135449840" TargetMode="External"/><Relationship Id="rId242" Type="http://schemas.openxmlformats.org/officeDocument/2006/relationships/hyperlink" Target="https://openalex.org/A5098416747" TargetMode="External"/><Relationship Id="rId243" Type="http://schemas.openxmlformats.org/officeDocument/2006/relationships/hyperlink" Target="https://openalex.org/A5099254366" TargetMode="External"/><Relationship Id="rId244" Type="http://schemas.openxmlformats.org/officeDocument/2006/relationships/hyperlink" Target="https://openalex.org/A5129469963" TargetMode="External"/><Relationship Id="rId245" Type="http://schemas.openxmlformats.org/officeDocument/2006/relationships/hyperlink" Target="http://urbanplanning.ku.edu/" TargetMode="External"/><Relationship Id="rId246" Type="http://schemas.openxmlformats.org/officeDocument/2006/relationships/hyperlink" Target="https://openalex.org/A5103545550" TargetMode="External"/><Relationship Id="rId247" Type="http://schemas.openxmlformats.org/officeDocument/2006/relationships/hyperlink" Target="https://openalex.org/A5062117067" TargetMode="External"/><Relationship Id="rId248" Type="http://schemas.openxmlformats.org/officeDocument/2006/relationships/hyperlink" Target="https://openalex.org/A5069414906" TargetMode="External"/><Relationship Id="rId249" Type="http://schemas.openxmlformats.org/officeDocument/2006/relationships/hyperlink" Target="https://openalex.org/A5114240266" TargetMode="External"/><Relationship Id="rId250" Type="http://schemas.openxmlformats.org/officeDocument/2006/relationships/hyperlink" Target="https://openalex.org/A5056032868" TargetMode="External"/><Relationship Id="rId251" Type="http://schemas.openxmlformats.org/officeDocument/2006/relationships/hyperlink" Target="https://spa.sdsu.edu/index.php/academic_programs/city_planning/cp-overview" TargetMode="External"/><Relationship Id="rId252" Type="http://schemas.openxmlformats.org/officeDocument/2006/relationships/hyperlink" Target="https://openalex.org/A5055528941" TargetMode="External"/><Relationship Id="rId253" Type="http://schemas.openxmlformats.org/officeDocument/2006/relationships/hyperlink" Target="https://openalex.org/A5077230652" TargetMode="External"/><Relationship Id="rId254" Type="http://schemas.openxmlformats.org/officeDocument/2006/relationships/hyperlink" Target="https://openalex.org/A5075498743" TargetMode="External"/><Relationship Id="rId255" Type="http://schemas.openxmlformats.org/officeDocument/2006/relationships/hyperlink" Target="https://openalex.org/A5033514416" TargetMode="External"/><Relationship Id="rId256" Type="http://schemas.openxmlformats.org/officeDocument/2006/relationships/hyperlink" Target="http://arch.umd.edu/ursp/urban-studies-and-planning" TargetMode="External"/><Relationship Id="rId257" Type="http://schemas.openxmlformats.org/officeDocument/2006/relationships/hyperlink" Target="https://openalex.org/A5054358091" TargetMode="External"/><Relationship Id="rId258" Type="http://schemas.openxmlformats.org/officeDocument/2006/relationships/hyperlink" Target="https://openalex.org/A5110812820" TargetMode="External"/><Relationship Id="rId259" Type="http://schemas.openxmlformats.org/officeDocument/2006/relationships/hyperlink" Target="https://openalex.org/A5119826523" TargetMode="External"/><Relationship Id="rId260" Type="http://schemas.openxmlformats.org/officeDocument/2006/relationships/hyperlink" Target="https://openalex.org/A5108485822" TargetMode="External"/><Relationship Id="rId261" Type="http://schemas.openxmlformats.org/officeDocument/2006/relationships/hyperlink" Target="https://openalex.org/A5047806263" TargetMode="External"/><Relationship Id="rId262" Type="http://schemas.openxmlformats.org/officeDocument/2006/relationships/hyperlink" Target="https://earth.rowan.edu/departments/geography/" TargetMode="External"/><Relationship Id="rId263" Type="http://schemas.openxmlformats.org/officeDocument/2006/relationships/hyperlink" Target="https://openalex.org/A5102775442" TargetMode="External"/><Relationship Id="rId264" Type="http://schemas.openxmlformats.org/officeDocument/2006/relationships/hyperlink" Target="https://openalex.org/A5011146440" TargetMode="External"/><Relationship Id="rId265" Type="http://schemas.openxmlformats.org/officeDocument/2006/relationships/hyperlink" Target="https://openalex.org/A5122804207" TargetMode="External"/><Relationship Id="rId266" Type="http://schemas.openxmlformats.org/officeDocument/2006/relationships/hyperlink" Target="https://openalex.org/A5126601515" TargetMode="External"/><Relationship Id="rId267" Type="http://schemas.openxmlformats.org/officeDocument/2006/relationships/hyperlink" Target="https://openalex.org/A5065823641" TargetMode="External"/><Relationship Id="rId268" Type="http://schemas.openxmlformats.org/officeDocument/2006/relationships/hyperlink" Target="http://priceschool.usc.edu/programs/masters/mpl/" TargetMode="External"/><Relationship Id="rId269" Type="http://schemas.openxmlformats.org/officeDocument/2006/relationships/hyperlink" Target="https://openalex.org/A5032597591" TargetMode="External"/><Relationship Id="rId270" Type="http://schemas.openxmlformats.org/officeDocument/2006/relationships/hyperlink" Target="https://openalex.org/A5013470629" TargetMode="External"/><Relationship Id="rId271" Type="http://schemas.openxmlformats.org/officeDocument/2006/relationships/hyperlink" Target="https://openalex.org/A5086696069" TargetMode="External"/><Relationship Id="rId272" Type="http://schemas.openxmlformats.org/officeDocument/2006/relationships/hyperlink" Target="https://openalex.org/A5087102585" TargetMode="External"/><Relationship Id="rId273" Type="http://schemas.openxmlformats.org/officeDocument/2006/relationships/hyperlink" Target="https://openalex.org/A5056267816" TargetMode="External"/><Relationship Id="rId274" Type="http://schemas.openxmlformats.org/officeDocument/2006/relationships/hyperlink" Target="http://arch.umd.edu/ursp/urban-studies-and-planning" TargetMode="External"/><Relationship Id="rId275" Type="http://schemas.openxmlformats.org/officeDocument/2006/relationships/hyperlink" Target="https://openalex.org/A5108703329" TargetMode="External"/><Relationship Id="rId276" Type="http://schemas.openxmlformats.org/officeDocument/2006/relationships/hyperlink" Target="https://openalex.org/A5024129069" TargetMode="External"/><Relationship Id="rId277" Type="http://schemas.openxmlformats.org/officeDocument/2006/relationships/hyperlink" Target="https://openalex.org/A5088634048" TargetMode="External"/><Relationship Id="rId278" Type="http://schemas.openxmlformats.org/officeDocument/2006/relationships/hyperlink" Target="https://openalex.org/A5106213581" TargetMode="External"/><Relationship Id="rId279" Type="http://schemas.openxmlformats.org/officeDocument/2006/relationships/hyperlink" Target="https://openalex.org/A5092538675" TargetMode="External"/><Relationship Id="rId280" Type="http://schemas.openxmlformats.org/officeDocument/2006/relationships/hyperlink" Target="http://ap.buffalo.edu/academics/graduate-degrees/mup.html" TargetMode="External"/><Relationship Id="rId281" Type="http://schemas.openxmlformats.org/officeDocument/2006/relationships/hyperlink" Target="https://openalex.org/A5043525503" TargetMode="External"/><Relationship Id="rId282" Type="http://schemas.openxmlformats.org/officeDocument/2006/relationships/hyperlink" Target="https://openalex.org/A5135876537" TargetMode="External"/><Relationship Id="rId283" Type="http://schemas.openxmlformats.org/officeDocument/2006/relationships/hyperlink" Target="http://sebs.rutgers.edu/" TargetMode="External"/><Relationship Id="rId284" Type="http://schemas.openxmlformats.org/officeDocument/2006/relationships/hyperlink" Target="https://openalex.org/A5109364562" TargetMode="External"/><Relationship Id="rId285" Type="http://schemas.openxmlformats.org/officeDocument/2006/relationships/hyperlink" Target="https://openalex.org/A5108433030" TargetMode="External"/><Relationship Id="rId286" Type="http://schemas.openxmlformats.org/officeDocument/2006/relationships/hyperlink" Target="https://openalex.org/A5034761590" TargetMode="External"/><Relationship Id="rId287" Type="http://schemas.openxmlformats.org/officeDocument/2006/relationships/hyperlink" Target="https://openalex.org/A5093032611" TargetMode="External"/><Relationship Id="rId288" Type="http://schemas.openxmlformats.org/officeDocument/2006/relationships/hyperlink" Target="https://openalex.org/A5077738182" TargetMode="External"/><Relationship Id="rId289" Type="http://schemas.openxmlformats.org/officeDocument/2006/relationships/hyperlink" Target="http://laup.arch.tamu.edu/" TargetMode="External"/><Relationship Id="rId290" Type="http://schemas.openxmlformats.org/officeDocument/2006/relationships/hyperlink" Target="https://openalex.org/A5069840768" TargetMode="External"/><Relationship Id="rId291" Type="http://schemas.openxmlformats.org/officeDocument/2006/relationships/hyperlink" Target="https://openalex.org/A5033599214" TargetMode="External"/><Relationship Id="rId292" Type="http://schemas.openxmlformats.org/officeDocument/2006/relationships/hyperlink" Target="https://openalex.org/A5022812819" TargetMode="External"/><Relationship Id="rId293" Type="http://schemas.openxmlformats.org/officeDocument/2006/relationships/hyperlink" Target="https://openalex.org/A5126436565" TargetMode="External"/><Relationship Id="rId294" Type="http://schemas.openxmlformats.org/officeDocument/2006/relationships/hyperlink" Target="https://openalex.org/A5130394903" TargetMode="External"/><Relationship Id="rId295" Type="http://schemas.openxmlformats.org/officeDocument/2006/relationships/hyperlink" Target="http://capla.arizona.edu/planning-program" TargetMode="External"/><Relationship Id="rId296" Type="http://schemas.openxmlformats.org/officeDocument/2006/relationships/hyperlink" Target="https://openalex.org/A5100631612" TargetMode="External"/><Relationship Id="rId297" Type="http://schemas.openxmlformats.org/officeDocument/2006/relationships/hyperlink" Target="https://openalex.org/A5100631615" TargetMode="External"/><Relationship Id="rId298" Type="http://schemas.openxmlformats.org/officeDocument/2006/relationships/hyperlink" Target="https://openalex.org/A5089786199" TargetMode="External"/><Relationship Id="rId299" Type="http://schemas.openxmlformats.org/officeDocument/2006/relationships/hyperlink" Target="https://openalex.org/A5144367830" TargetMode="External"/><Relationship Id="rId300" Type="http://schemas.openxmlformats.org/officeDocument/2006/relationships/hyperlink" Target="https://openalex.org/A5100631618" TargetMode="External"/><Relationship Id="rId301" Type="http://schemas.openxmlformats.org/officeDocument/2006/relationships/hyperlink" Target="https://www.design.upenn.edu/city-regional-planning/graduate/work" TargetMode="External"/><Relationship Id="rId302" Type="http://schemas.openxmlformats.org/officeDocument/2006/relationships/hyperlink" Target="https://openalex.org/A5101845393" TargetMode="External"/><Relationship Id="rId303" Type="http://schemas.openxmlformats.org/officeDocument/2006/relationships/hyperlink" Target="https://openalex.org/A5144415074" TargetMode="External"/><Relationship Id="rId304" Type="http://schemas.openxmlformats.org/officeDocument/2006/relationships/hyperlink" Target="https://openalex.org/A5065330086" TargetMode="External"/><Relationship Id="rId305" Type="http://schemas.openxmlformats.org/officeDocument/2006/relationships/hyperlink" Target="https://openalex.org/A5024110899" TargetMode="External"/><Relationship Id="rId306" Type="http://schemas.openxmlformats.org/officeDocument/2006/relationships/hyperlink" Target="https://openalex.org/A5103852499" TargetMode="External"/><Relationship Id="rId307" Type="http://schemas.openxmlformats.org/officeDocument/2006/relationships/hyperlink" Target="http://upp.uic.edu/" TargetMode="External"/><Relationship Id="rId308" Type="http://schemas.openxmlformats.org/officeDocument/2006/relationships/hyperlink" Target="https://openalex.org/A5063715451" TargetMode="External"/><Relationship Id="rId309" Type="http://schemas.openxmlformats.org/officeDocument/2006/relationships/hyperlink" Target="https://openalex.org/A5103912562" TargetMode="External"/><Relationship Id="rId310" Type="http://schemas.openxmlformats.org/officeDocument/2006/relationships/hyperlink" Target="https://openalex.org/A5073272796" TargetMode="External"/><Relationship Id="rId311" Type="http://schemas.openxmlformats.org/officeDocument/2006/relationships/hyperlink" Target="https://openalex.org/A5031770822" TargetMode="External"/><Relationship Id="rId312" Type="http://schemas.openxmlformats.org/officeDocument/2006/relationships/hyperlink" Target="https://openalex.org/A5030528397" TargetMode="External"/><Relationship Id="rId313" Type="http://schemas.openxmlformats.org/officeDocument/2006/relationships/hyperlink" Target="http://urbanplanning.ku.edu/" TargetMode="External"/><Relationship Id="rId314" Type="http://schemas.openxmlformats.org/officeDocument/2006/relationships/hyperlink" Target="https://openalex.org/A5076390873" TargetMode="External"/><Relationship Id="rId315" Type="http://schemas.openxmlformats.org/officeDocument/2006/relationships/hyperlink" Target="https://openalex.org/A5008947138" TargetMode="External"/><Relationship Id="rId316" Type="http://schemas.openxmlformats.org/officeDocument/2006/relationships/hyperlink" Target="http://ced.berkeley.edu/academics/city-regional-planning/" TargetMode="External"/><Relationship Id="rId317" Type="http://schemas.openxmlformats.org/officeDocument/2006/relationships/hyperlink" Target="https://openalex.org/A5102909263" TargetMode="External"/><Relationship Id="rId318" Type="http://schemas.openxmlformats.org/officeDocument/2006/relationships/hyperlink" Target="https://openalex.org/A5101055648" TargetMode="External"/><Relationship Id="rId319" Type="http://schemas.openxmlformats.org/officeDocument/2006/relationships/hyperlink" Target="https://openalex.org/A5007842788" TargetMode="External"/><Relationship Id="rId320" Type="http://schemas.openxmlformats.org/officeDocument/2006/relationships/hyperlink" Target="https://openalex.org/A5032022046" TargetMode="External"/><Relationship Id="rId321" Type="http://schemas.openxmlformats.org/officeDocument/2006/relationships/hyperlink" Target="https://openalex.org/A5046532067" TargetMode="External"/><Relationship Id="rId322" Type="http://schemas.openxmlformats.org/officeDocument/2006/relationships/hyperlink" Target="http://dal.ca/faculty/architecture-planning/school-of-planning.html" TargetMode="External"/><Relationship Id="rId323" Type="http://schemas.openxmlformats.org/officeDocument/2006/relationships/hyperlink" Target="https://openalex.org/A5113715971" TargetMode="External"/><Relationship Id="rId324" Type="http://schemas.openxmlformats.org/officeDocument/2006/relationships/hyperlink" Target="https://openalex.org/A5114112612" TargetMode="External"/><Relationship Id="rId325" Type="http://schemas.openxmlformats.org/officeDocument/2006/relationships/hyperlink" Target="https://openalex.org/A5076164394" TargetMode="External"/><Relationship Id="rId326" Type="http://schemas.openxmlformats.org/officeDocument/2006/relationships/hyperlink" Target="https://openalex.org/A5042617867" TargetMode="External"/><Relationship Id="rId327" Type="http://schemas.openxmlformats.org/officeDocument/2006/relationships/hyperlink" Target="https://openalex.org/A5050753150" TargetMode="External"/><Relationship Id="rId328" Type="http://schemas.openxmlformats.org/officeDocument/2006/relationships/hyperlink" Target="http://ppd.soceco.uci.edu/" TargetMode="External"/><Relationship Id="rId329" Type="http://schemas.openxmlformats.org/officeDocument/2006/relationships/hyperlink" Target="https://openalex.org/A5000100837" TargetMode="External"/><Relationship Id="rId330" Type="http://schemas.openxmlformats.org/officeDocument/2006/relationships/hyperlink" Target="https://openalex.org/A5060058822" TargetMode="External"/><Relationship Id="rId331" Type="http://schemas.openxmlformats.org/officeDocument/2006/relationships/hyperlink" Target="https://openalex.org/A5097564375" TargetMode="External"/><Relationship Id="rId332" Type="http://schemas.openxmlformats.org/officeDocument/2006/relationships/hyperlink" Target="https://openalex.org/A5110941176" TargetMode="External"/><Relationship Id="rId333" Type="http://schemas.openxmlformats.org/officeDocument/2006/relationships/hyperlink" Target="https://openalex.org/A5054730731" TargetMode="External"/><Relationship Id="rId334" Type="http://schemas.openxmlformats.org/officeDocument/2006/relationships/hyperlink" Target="http://planning.eas.ualberta.ca/" TargetMode="External"/><Relationship Id="rId335" Type="http://schemas.openxmlformats.org/officeDocument/2006/relationships/hyperlink" Target="https://openalex.org/A5069035042" TargetMode="External"/><Relationship Id="rId336" Type="http://schemas.openxmlformats.org/officeDocument/2006/relationships/hyperlink" Target="https://openalex.org/A5069888854" TargetMode="External"/><Relationship Id="rId337" Type="http://schemas.openxmlformats.org/officeDocument/2006/relationships/hyperlink" Target="https://openalex.org/A5128821750" TargetMode="External"/><Relationship Id="rId338" Type="http://schemas.openxmlformats.org/officeDocument/2006/relationships/hyperlink" Target="https://openalex.org/A5109002786" TargetMode="External"/><Relationship Id="rId339" Type="http://schemas.openxmlformats.org/officeDocument/2006/relationships/hyperlink" Target="https://openalex.org/A5139333029" TargetMode="External"/><Relationship Id="rId340" Type="http://schemas.openxmlformats.org/officeDocument/2006/relationships/hyperlink" Target="https://daap.uc.edu/academic-programs/school-of-planning.html" TargetMode="External"/><Relationship Id="rId341" Type="http://schemas.openxmlformats.org/officeDocument/2006/relationships/hyperlink" Target="https://openalex.org/A5021295764" TargetMode="External"/><Relationship Id="rId342" Type="http://schemas.openxmlformats.org/officeDocument/2006/relationships/hyperlink" Target="https://openalex.org/A5114025101" TargetMode="External"/><Relationship Id="rId343" Type="http://schemas.openxmlformats.org/officeDocument/2006/relationships/hyperlink" Target="https://openalex.org/A5025676060" TargetMode="External"/><Relationship Id="rId344" Type="http://schemas.openxmlformats.org/officeDocument/2006/relationships/hyperlink" Target="https://openalex.org/A5092785614" TargetMode="External"/><Relationship Id="rId345" Type="http://schemas.openxmlformats.org/officeDocument/2006/relationships/hyperlink" Target="https://openalex.org/A5099588342" TargetMode="External"/><Relationship Id="rId346" Type="http://schemas.openxmlformats.org/officeDocument/2006/relationships/hyperlink" Target="https://planning.fau.edu/" TargetMode="External"/><Relationship Id="rId347" Type="http://schemas.openxmlformats.org/officeDocument/2006/relationships/hyperlink" Target="https://openalex.org/A5034151265" TargetMode="External"/><Relationship Id="rId348" Type="http://schemas.openxmlformats.org/officeDocument/2006/relationships/hyperlink" Target="https://openalex.org/A5079995250" TargetMode="External"/><Relationship Id="rId349" Type="http://schemas.openxmlformats.org/officeDocument/2006/relationships/hyperlink" Target="https://openalex.org/A5135611312" TargetMode="External"/><Relationship Id="rId350" Type="http://schemas.openxmlformats.org/officeDocument/2006/relationships/hyperlink" Target="https://openalex.org/A5071357029" TargetMode="External"/><Relationship Id="rId351" Type="http://schemas.openxmlformats.org/officeDocument/2006/relationships/hyperlink" Target="https://dpla.wisc.edu/" TargetMode="External"/><Relationship Id="rId352" Type="http://schemas.openxmlformats.org/officeDocument/2006/relationships/hyperlink" Target="https://openalex.org/A5107991235" TargetMode="External"/><Relationship Id="rId353" Type="http://schemas.openxmlformats.org/officeDocument/2006/relationships/hyperlink" Target="https://openalex.org/A5033642008" TargetMode="External"/><Relationship Id="rId354" Type="http://schemas.openxmlformats.org/officeDocument/2006/relationships/hyperlink" Target="https://openalex.org/A5112004665" TargetMode="External"/><Relationship Id="rId355" Type="http://schemas.openxmlformats.org/officeDocument/2006/relationships/hyperlink" Target="https://openalex.org/A5060730140" TargetMode="External"/><Relationship Id="rId356" Type="http://schemas.openxmlformats.org/officeDocument/2006/relationships/hyperlink" Target="https://openalex.org/A5032985621" TargetMode="External"/><Relationship Id="rId357" Type="http://schemas.openxmlformats.org/officeDocument/2006/relationships/hyperlink" Target="https://www.esad.ulaval.ca/en" TargetMode="External"/><Relationship Id="rId358" Type="http://schemas.openxmlformats.org/officeDocument/2006/relationships/hyperlink" Target="https://openalex.org/A5058440390" TargetMode="External"/><Relationship Id="rId359" Type="http://schemas.openxmlformats.org/officeDocument/2006/relationships/hyperlink" Target="https://openalex.org/A5028996004" TargetMode="External"/><Relationship Id="rId360" Type="http://schemas.openxmlformats.org/officeDocument/2006/relationships/hyperlink" Target="https://openalex.org/A5025383209" TargetMode="External"/><Relationship Id="rId361" Type="http://schemas.openxmlformats.org/officeDocument/2006/relationships/hyperlink" Target="https://openalex.org/A5063513141" TargetMode="External"/><Relationship Id="rId362" Type="http://schemas.openxmlformats.org/officeDocument/2006/relationships/hyperlink" Target="https://openalex.org/A5109984724" TargetMode="External"/><Relationship Id="rId363" Type="http://schemas.openxmlformats.org/officeDocument/2006/relationships/hyperlink" Target="http://luskin.ucla.edu/urban-planning" TargetMode="External"/><Relationship Id="rId364" Type="http://schemas.openxmlformats.org/officeDocument/2006/relationships/hyperlink" Target="https://openalex.org/A5110737977" TargetMode="External"/><Relationship Id="rId365" Type="http://schemas.openxmlformats.org/officeDocument/2006/relationships/hyperlink" Target="https://openalex.org/A5075980835" TargetMode="External"/><Relationship Id="rId366" Type="http://schemas.openxmlformats.org/officeDocument/2006/relationships/hyperlink" Target="https://openalex.org/A5103184876" TargetMode="External"/><Relationship Id="rId367" Type="http://schemas.openxmlformats.org/officeDocument/2006/relationships/hyperlink" Target="https://openalex.org/A5078332994" TargetMode="External"/><Relationship Id="rId368" Type="http://schemas.openxmlformats.org/officeDocument/2006/relationships/hyperlink" Target="https://openalex.org/A5081169713" TargetMode="External"/><Relationship Id="rId369" Type="http://schemas.openxmlformats.org/officeDocument/2006/relationships/hyperlink" Target="https://cssh.northeastern.edu/policyschool/program/ms-in-urban-planning-and-policy/" TargetMode="External"/><Relationship Id="rId370" Type="http://schemas.openxmlformats.org/officeDocument/2006/relationships/hyperlink" Target="https://openalex.org/A5083670541" TargetMode="External"/><Relationship Id="rId371" Type="http://schemas.openxmlformats.org/officeDocument/2006/relationships/hyperlink" Target="https://openalex.org/A5101399398" TargetMode="External"/><Relationship Id="rId372" Type="http://schemas.openxmlformats.org/officeDocument/2006/relationships/hyperlink" Target="https://openalex.org/A5019976820" TargetMode="External"/><Relationship Id="rId373" Type="http://schemas.openxmlformats.org/officeDocument/2006/relationships/hyperlink" Target="https://openalex.org/A5103413221" TargetMode="External"/><Relationship Id="rId374" Type="http://schemas.openxmlformats.org/officeDocument/2006/relationships/hyperlink" Target="https://openalex.org/A5094001875" TargetMode="External"/><Relationship Id="rId375" Type="http://schemas.openxmlformats.org/officeDocument/2006/relationships/hyperlink" Target="https://www.uta.edu/cappa/academics/planning-publicaffairs/index.php" TargetMode="External"/><Relationship Id="rId376" Type="http://schemas.openxmlformats.org/officeDocument/2006/relationships/hyperlink" Target="https://openalex.org/A5083699253" TargetMode="External"/><Relationship Id="rId377" Type="http://schemas.openxmlformats.org/officeDocument/2006/relationships/hyperlink" Target="https://openalex.org/A5112746846" TargetMode="External"/><Relationship Id="rId378" Type="http://schemas.openxmlformats.org/officeDocument/2006/relationships/hyperlink" Target="https://openalex.org/A5147905953" TargetMode="External"/><Relationship Id="rId379" Type="http://schemas.openxmlformats.org/officeDocument/2006/relationships/hyperlink" Target="https://openalex.org/A5040267991" TargetMode="External"/><Relationship Id="rId380" Type="http://schemas.openxmlformats.org/officeDocument/2006/relationships/hyperlink" Target="https://openalex.org/A5142971526" TargetMode="External"/><Relationship Id="rId381" Type="http://schemas.openxmlformats.org/officeDocument/2006/relationships/hyperlink" Target="http://ap.buffalo.edu/academics/graduate-degrees/mup.html" TargetMode="External"/><Relationship Id="rId382" Type="http://schemas.openxmlformats.org/officeDocument/2006/relationships/hyperlink" Target="https://openalex.org/A5100409598" TargetMode="External"/><Relationship Id="rId383" Type="http://schemas.openxmlformats.org/officeDocument/2006/relationships/hyperlink" Target="https://openalex.org/A5100409607" TargetMode="External"/><Relationship Id="rId384" Type="http://schemas.openxmlformats.org/officeDocument/2006/relationships/hyperlink" Target="https://openalex.org/A5100409599" TargetMode="External"/><Relationship Id="rId385" Type="http://schemas.openxmlformats.org/officeDocument/2006/relationships/hyperlink" Target="https://openalex.org/A5100409602" TargetMode="External"/><Relationship Id="rId386" Type="http://schemas.openxmlformats.org/officeDocument/2006/relationships/hyperlink" Target="https://openalex.org/A5005359699" TargetMode="External"/><Relationship Id="rId387" Type="http://schemas.openxmlformats.org/officeDocument/2006/relationships/hyperlink" Target="https://artsandscience.usask.ca/geography/undergraduates/regional-and-urban-planning.php" TargetMode="External"/><Relationship Id="rId388" Type="http://schemas.openxmlformats.org/officeDocument/2006/relationships/hyperlink" Target="https://openalex.org/A5016687100" TargetMode="External"/><Relationship Id="rId389" Type="http://schemas.openxmlformats.org/officeDocument/2006/relationships/hyperlink" Target="https://openalex.org/A5071550128" TargetMode="External"/><Relationship Id="rId390" Type="http://schemas.openxmlformats.org/officeDocument/2006/relationships/hyperlink" Target="https://openalex.org/A5039024938" TargetMode="External"/><Relationship Id="rId391" Type="http://schemas.openxmlformats.org/officeDocument/2006/relationships/hyperlink" Target="https://openalex.org/A5097578811" TargetMode="External"/><Relationship Id="rId392" Type="http://schemas.openxmlformats.org/officeDocument/2006/relationships/hyperlink" Target="https://openalex.org/A5090611098" TargetMode="External"/><Relationship Id="rId393" Type="http://schemas.openxmlformats.org/officeDocument/2006/relationships/hyperlink" Target="http://dcp.ufl.edu/urp/" TargetMode="External"/><Relationship Id="rId394" Type="http://schemas.openxmlformats.org/officeDocument/2006/relationships/hyperlink" Target="https://openalex.org/A5069439577" TargetMode="External"/><Relationship Id="rId395" Type="http://schemas.openxmlformats.org/officeDocument/2006/relationships/hyperlink" Target="https://openalex.org/A5113524330" TargetMode="External"/><Relationship Id="rId396" Type="http://schemas.openxmlformats.org/officeDocument/2006/relationships/hyperlink" Target="https://openalex.org/A5108208189" TargetMode="External"/><Relationship Id="rId397" Type="http://schemas.openxmlformats.org/officeDocument/2006/relationships/hyperlink" Target="https://openalex.org/A5140932550" TargetMode="External"/><Relationship Id="rId398" Type="http://schemas.openxmlformats.org/officeDocument/2006/relationships/hyperlink" Target="https://openalex.org/A5039347448" TargetMode="External"/><Relationship Id="rId399" Type="http://schemas.openxmlformats.org/officeDocument/2006/relationships/hyperlink" Target="http://nau.edu/SBS/GPR/Degrees-Programs/Geography/" TargetMode="External"/><Relationship Id="rId400" Type="http://schemas.openxmlformats.org/officeDocument/2006/relationships/hyperlink" Target="https://openalex.org/A5101407319" TargetMode="External"/><Relationship Id="rId401" Type="http://schemas.openxmlformats.org/officeDocument/2006/relationships/hyperlink" Target="https://openalex.org/A5081442837" TargetMode="External"/><Relationship Id="rId402" Type="http://schemas.openxmlformats.org/officeDocument/2006/relationships/hyperlink" Target="https://openalex.org/A5107882623" TargetMode="External"/><Relationship Id="rId403" Type="http://schemas.openxmlformats.org/officeDocument/2006/relationships/hyperlink" Target="https://openalex.org/A5107939696" TargetMode="External"/><Relationship Id="rId404" Type="http://schemas.openxmlformats.org/officeDocument/2006/relationships/hyperlink" Target="https://openalex.org/A5141338953" TargetMode="External"/><Relationship Id="rId405" Type="http://schemas.openxmlformats.org/officeDocument/2006/relationships/hyperlink" Target="https://etudier.uqam.ca/programme/maitrise-etudes-urbaines" TargetMode="External"/><Relationship Id="rId406" Type="http://schemas.openxmlformats.org/officeDocument/2006/relationships/hyperlink" Target="https://openalex.org/A5090849619" TargetMode="External"/><Relationship Id="rId407" Type="http://schemas.openxmlformats.org/officeDocument/2006/relationships/hyperlink" Target="https://openalex.org/A5108457372" TargetMode="External"/><Relationship Id="rId408" Type="http://schemas.openxmlformats.org/officeDocument/2006/relationships/hyperlink" Target="https://openalex.org/A5109889380" TargetMode="External"/><Relationship Id="rId409" Type="http://schemas.openxmlformats.org/officeDocument/2006/relationships/hyperlink" Target="https://openalex.org/A5126257565" TargetMode="External"/><Relationship Id="rId410" Type="http://schemas.openxmlformats.org/officeDocument/2006/relationships/hyperlink" Target="https://openalex.org/A5108771275" TargetMode="External"/><Relationship Id="rId411" Type="http://schemas.openxmlformats.org/officeDocument/2006/relationships/hyperlink" Target="http://ced.uga.edu/degrees/mepd/" TargetMode="External"/><Relationship Id="rId412" Type="http://schemas.openxmlformats.org/officeDocument/2006/relationships/hyperlink" Target="https://openalex.org/A5039872829" TargetMode="External"/><Relationship Id="rId413" Type="http://schemas.openxmlformats.org/officeDocument/2006/relationships/hyperlink" Target="https://openalex.org/A5020647583" TargetMode="External"/><Relationship Id="rId414" Type="http://schemas.openxmlformats.org/officeDocument/2006/relationships/hyperlink" Target="https://openalex.org/A5109518588" TargetMode="External"/><Relationship Id="rId415" Type="http://schemas.openxmlformats.org/officeDocument/2006/relationships/hyperlink" Target="https://openalex.org/A5042129498" TargetMode="External"/><Relationship Id="rId416" Type="http://schemas.openxmlformats.org/officeDocument/2006/relationships/hyperlink" Target="https://openalex.org/A5136889182" TargetMode="External"/><Relationship Id="rId417" Type="http://schemas.openxmlformats.org/officeDocument/2006/relationships/hyperlink" Target="http://utoledo.edu/llss/geography/" TargetMode="External"/><Relationship Id="rId418" Type="http://schemas.openxmlformats.org/officeDocument/2006/relationships/hyperlink" Target="https://openalex.org/A5026651294" TargetMode="External"/><Relationship Id="rId419" Type="http://schemas.openxmlformats.org/officeDocument/2006/relationships/hyperlink" Target="https://openalex.org/A5069803763" TargetMode="External"/><Relationship Id="rId420" Type="http://schemas.openxmlformats.org/officeDocument/2006/relationships/hyperlink" Target="https://openalex.org/A5059016853" TargetMode="External"/><Relationship Id="rId421" Type="http://schemas.openxmlformats.org/officeDocument/2006/relationships/hyperlink" Target="https://openalex.org/A5119432478" TargetMode="External"/><Relationship Id="rId422" Type="http://schemas.openxmlformats.org/officeDocument/2006/relationships/hyperlink" Target="https://openalex.org/A5122699598" TargetMode="External"/><Relationship Id="rId423" Type="http://schemas.openxmlformats.org/officeDocument/2006/relationships/hyperlink" Target="http://gsd.harvard.edu/" TargetMode="External"/><Relationship Id="rId424" Type="http://schemas.openxmlformats.org/officeDocument/2006/relationships/hyperlink" Target="https://openalex.org/A5045102391" TargetMode="External"/><Relationship Id="rId425" Type="http://schemas.openxmlformats.org/officeDocument/2006/relationships/hyperlink" Target="https://openalex.org/A5065852957" TargetMode="External"/><Relationship Id="rId426" Type="http://schemas.openxmlformats.org/officeDocument/2006/relationships/hyperlink" Target="https://openalex.org/A5103598730" TargetMode="External"/><Relationship Id="rId427" Type="http://schemas.openxmlformats.org/officeDocument/2006/relationships/hyperlink" Target="https://openalex.org/A5007292986" TargetMode="External"/><Relationship Id="rId428" Type="http://schemas.openxmlformats.org/officeDocument/2006/relationships/hyperlink" Target="https://openalex.org/A5109033672" TargetMode="External"/><Relationship Id="rId429" Type="http://schemas.openxmlformats.org/officeDocument/2006/relationships/hyperlink" Target="http://uwm.edu/sarup/program/planning/" TargetMode="External"/><Relationship Id="rId430" Type="http://schemas.openxmlformats.org/officeDocument/2006/relationships/hyperlink" Target="https://openalex.org/A5012023237" TargetMode="External"/><Relationship Id="rId431" Type="http://schemas.openxmlformats.org/officeDocument/2006/relationships/hyperlink" Target="https://openalex.org/A5103429978" TargetMode="External"/><Relationship Id="rId432" Type="http://schemas.openxmlformats.org/officeDocument/2006/relationships/hyperlink" Target="https://openalex.org/A5071685655" TargetMode="External"/><Relationship Id="rId433" Type="http://schemas.openxmlformats.org/officeDocument/2006/relationships/hyperlink" Target="https://openalex.org/A5110126660" TargetMode="External"/><Relationship Id="rId434" Type="http://schemas.openxmlformats.org/officeDocument/2006/relationships/hyperlink" Target="https://openalex.org/A5103363798" TargetMode="External"/><Relationship Id="rId435" Type="http://schemas.openxmlformats.org/officeDocument/2006/relationships/hyperlink" Target="https://cssh.northeastern.edu/policyschool/program/ms-in-urban-planning-and-policy/" TargetMode="External"/><Relationship Id="rId436" Type="http://schemas.openxmlformats.org/officeDocument/2006/relationships/hyperlink" Target="https://openalex.org/A5110856923" TargetMode="External"/><Relationship Id="rId437" Type="http://schemas.openxmlformats.org/officeDocument/2006/relationships/hyperlink" Target="https://openalex.org/A5067986618" TargetMode="External"/><Relationship Id="rId438" Type="http://schemas.openxmlformats.org/officeDocument/2006/relationships/hyperlink" Target="https://openalex.org/A5099288226" TargetMode="External"/><Relationship Id="rId439" Type="http://schemas.openxmlformats.org/officeDocument/2006/relationships/hyperlink" Target="https://openalex.org/A5099456481" TargetMode="External"/><Relationship Id="rId440" Type="http://schemas.openxmlformats.org/officeDocument/2006/relationships/hyperlink" Target="https://openalex.org/A5102038157" TargetMode="External"/><Relationship Id="rId441" Type="http://schemas.openxmlformats.org/officeDocument/2006/relationships/hyperlink" Target="https://geo.appstate.edu/" TargetMode="External"/><Relationship Id="rId442" Type="http://schemas.openxmlformats.org/officeDocument/2006/relationships/hyperlink" Target="https://openalex.org/A5064283770" TargetMode="External"/><Relationship Id="rId443" Type="http://schemas.openxmlformats.org/officeDocument/2006/relationships/hyperlink" Target="https://openalex.org/A5080219283" TargetMode="External"/><Relationship Id="rId444" Type="http://schemas.openxmlformats.org/officeDocument/2006/relationships/hyperlink" Target="https://openalex.org/A5149467602" TargetMode="External"/><Relationship Id="rId445" Type="http://schemas.openxmlformats.org/officeDocument/2006/relationships/hyperlink" Target="https://openalex.org/A5034433344" TargetMode="External"/><Relationship Id="rId446" Type="http://schemas.openxmlformats.org/officeDocument/2006/relationships/hyperlink" Target="https://openalex.org/A5053351129" TargetMode="External"/><Relationship Id="rId447" Type="http://schemas.openxmlformats.org/officeDocument/2006/relationships/hyperlink" Target="http://planning.unc.edu/" TargetMode="External"/><Relationship Id="rId448" Type="http://schemas.openxmlformats.org/officeDocument/2006/relationships/hyperlink" Target="https://openalex.org/A5077128086" TargetMode="External"/><Relationship Id="rId449" Type="http://schemas.openxmlformats.org/officeDocument/2006/relationships/hyperlink" Target="https://openalex.org/A5100639584" TargetMode="External"/><Relationship Id="rId450" Type="http://schemas.openxmlformats.org/officeDocument/2006/relationships/hyperlink" Target="https://openalex.org/A5103012789" TargetMode="External"/><Relationship Id="rId451" Type="http://schemas.openxmlformats.org/officeDocument/2006/relationships/hyperlink" Target="https://openalex.org/A5023780556" TargetMode="External"/><Relationship Id="rId452" Type="http://schemas.openxmlformats.org/officeDocument/2006/relationships/hyperlink" Target="https://openalex.org/A5100381758" TargetMode="External"/><Relationship Id="rId453" Type="http://schemas.openxmlformats.org/officeDocument/2006/relationships/hyperlink" Target="http://dcp.ufl.edu/urp/" TargetMode="External"/><Relationship Id="rId454" Type="http://schemas.openxmlformats.org/officeDocument/2006/relationships/hyperlink" Target="https://openalex.org/A5022609719" TargetMode="External"/><Relationship Id="rId455" Type="http://schemas.openxmlformats.org/officeDocument/2006/relationships/hyperlink" Target="https://openalex.org/A5078396297" TargetMode="External"/><Relationship Id="rId456" Type="http://schemas.openxmlformats.org/officeDocument/2006/relationships/hyperlink" Target="https://openalex.org/A5110794040" TargetMode="External"/><Relationship Id="rId457" Type="http://schemas.openxmlformats.org/officeDocument/2006/relationships/hyperlink" Target="https://openalex.org/A5016800254" TargetMode="External"/><Relationship Id="rId458" Type="http://schemas.openxmlformats.org/officeDocument/2006/relationships/hyperlink" Target="https://openalex.org/A5096878458" TargetMode="External"/><Relationship Id="rId459" Type="http://schemas.openxmlformats.org/officeDocument/2006/relationships/hyperlink" Target="http://luskin.ucla.edu/urban-planning" TargetMode="External"/><Relationship Id="rId460" Type="http://schemas.openxmlformats.org/officeDocument/2006/relationships/hyperlink" Target="https://openalex.org/A5029049026" TargetMode="External"/><Relationship Id="rId461" Type="http://schemas.openxmlformats.org/officeDocument/2006/relationships/hyperlink" Target="https://openalex.org/A5108377123" TargetMode="External"/><Relationship Id="rId462" Type="http://schemas.openxmlformats.org/officeDocument/2006/relationships/hyperlink" Target="https://openalex.org/A5104991924" TargetMode="External"/><Relationship Id="rId463" Type="http://schemas.openxmlformats.org/officeDocument/2006/relationships/hyperlink" Target="https://openalex.org/A5127296837" TargetMode="External"/><Relationship Id="rId464" Type="http://schemas.openxmlformats.org/officeDocument/2006/relationships/hyperlink" Target="https://openalex.org/A5097004501" TargetMode="External"/><Relationship Id="rId465" Type="http://schemas.openxmlformats.org/officeDocument/2006/relationships/hyperlink" Target="https://usp.ucsd.edu/" TargetMode="External"/><Relationship Id="rId466" Type="http://schemas.openxmlformats.org/officeDocument/2006/relationships/hyperlink" Target="https://openalex.org/A5100546700" TargetMode="External"/><Relationship Id="rId467" Type="http://schemas.openxmlformats.org/officeDocument/2006/relationships/hyperlink" Target="https://openalex.org/A5145954767" TargetMode="External"/><Relationship Id="rId468" Type="http://schemas.openxmlformats.org/officeDocument/2006/relationships/hyperlink" Target="https://openalex.org/A5024860149" TargetMode="External"/><Relationship Id="rId469" Type="http://schemas.openxmlformats.org/officeDocument/2006/relationships/hyperlink" Target="https://openalex.org/A5061742737" TargetMode="External"/><Relationship Id="rId470" Type="http://schemas.openxmlformats.org/officeDocument/2006/relationships/hyperlink" Target="https://openalex.org/A5140812536" TargetMode="External"/><Relationship Id="rId471" Type="http://schemas.openxmlformats.org/officeDocument/2006/relationships/hyperlink" Target="https://environment.umb.edu/graduate-programs/urban-planning-and-community-development-ms" TargetMode="External"/><Relationship Id="rId472" Type="http://schemas.openxmlformats.org/officeDocument/2006/relationships/hyperlink" Target="https://openalex.org/A5077973893" TargetMode="External"/><Relationship Id="rId473" Type="http://schemas.openxmlformats.org/officeDocument/2006/relationships/hyperlink" Target="https://openalex.org/A5032618838" TargetMode="External"/><Relationship Id="rId474" Type="http://schemas.openxmlformats.org/officeDocument/2006/relationships/hyperlink" Target="https://openalex.org/A5074463751" TargetMode="External"/><Relationship Id="rId475" Type="http://schemas.openxmlformats.org/officeDocument/2006/relationships/hyperlink" Target="https://openalex.org/A5148955590" TargetMode="External"/><Relationship Id="rId476" Type="http://schemas.openxmlformats.org/officeDocument/2006/relationships/hyperlink" Target="https://openalex.org/A5020207079" TargetMode="External"/><Relationship Id="rId477" Type="http://schemas.openxmlformats.org/officeDocument/2006/relationships/hyperlink" Target="https://www.design.iastate.edu/community-and-regional-planning/" TargetMode="External"/><Relationship Id="rId478" Type="http://schemas.openxmlformats.org/officeDocument/2006/relationships/hyperlink" Target="https://openalex.org/A5101800566" TargetMode="External"/><Relationship Id="rId479" Type="http://schemas.openxmlformats.org/officeDocument/2006/relationships/hyperlink" Target="https://openalex.org/A5054172850" TargetMode="External"/><Relationship Id="rId480" Type="http://schemas.openxmlformats.org/officeDocument/2006/relationships/hyperlink" Target="https://openalex.org/A5109952224" TargetMode="External"/><Relationship Id="rId481" Type="http://schemas.openxmlformats.org/officeDocument/2006/relationships/hyperlink" Target="https://openalex.org/A5071715441" TargetMode="External"/><Relationship Id="rId482" Type="http://schemas.openxmlformats.org/officeDocument/2006/relationships/hyperlink" Target="https://openalex.org/A5049797977" TargetMode="External"/><Relationship Id="rId483" Type="http://schemas.openxmlformats.org/officeDocument/2006/relationships/hyperlink" Target="http://luskin.ucla.edu/urban-planning" TargetMode="External"/><Relationship Id="rId484" Type="http://schemas.openxmlformats.org/officeDocument/2006/relationships/hyperlink" Target="https://openalex.org/A5075588005" TargetMode="External"/><Relationship Id="rId485" Type="http://schemas.openxmlformats.org/officeDocument/2006/relationships/hyperlink" Target="https://openalex.org/A5033610800" TargetMode="External"/><Relationship Id="rId486" Type="http://schemas.openxmlformats.org/officeDocument/2006/relationships/hyperlink" Target="https://openalex.org/A5102095993" TargetMode="External"/><Relationship Id="rId487" Type="http://schemas.openxmlformats.org/officeDocument/2006/relationships/hyperlink" Target="https://openalex.org/A5015513311" TargetMode="External"/><Relationship Id="rId488" Type="http://schemas.openxmlformats.org/officeDocument/2006/relationships/hyperlink" Target="https://openalex.org/A5034724649" TargetMode="External"/><Relationship Id="rId489" Type="http://schemas.openxmlformats.org/officeDocument/2006/relationships/hyperlink" Target="http://csun.edu/social-behavioral-sciences/urban-studies-planning" TargetMode="External"/><Relationship Id="rId490" Type="http://schemas.openxmlformats.org/officeDocument/2006/relationships/hyperlink" Target="https://openalex.org/A5056647659" TargetMode="External"/><Relationship Id="rId491" Type="http://schemas.openxmlformats.org/officeDocument/2006/relationships/hyperlink" Target="https://openalex.org/A5104044075" TargetMode="External"/><Relationship Id="rId492" Type="http://schemas.openxmlformats.org/officeDocument/2006/relationships/hyperlink" Target="https://openalex.org/A5007430689" TargetMode="External"/><Relationship Id="rId493" Type="http://schemas.openxmlformats.org/officeDocument/2006/relationships/hyperlink" Target="https://openalex.org/A5036498218" TargetMode="External"/><Relationship Id="rId494" Type="http://schemas.openxmlformats.org/officeDocument/2006/relationships/hyperlink" Target="https://openalex.org/A5028803128" TargetMode="External"/><Relationship Id="rId495" Type="http://schemas.openxmlformats.org/officeDocument/2006/relationships/hyperlink" Target="http://urbanisme.umontreal.ca/" TargetMode="External"/><Relationship Id="rId496" Type="http://schemas.openxmlformats.org/officeDocument/2006/relationships/hyperlink" Target="https://openalex.org/A5059719881" TargetMode="External"/><Relationship Id="rId497" Type="http://schemas.openxmlformats.org/officeDocument/2006/relationships/hyperlink" Target="https://openalex.org/A5000426887" TargetMode="External"/><Relationship Id="rId498" Type="http://schemas.openxmlformats.org/officeDocument/2006/relationships/hyperlink" Target="https://openalex.org/A5106591365" TargetMode="External"/><Relationship Id="rId499" Type="http://schemas.openxmlformats.org/officeDocument/2006/relationships/hyperlink" Target="https://openalex.org/A5062675880" TargetMode="External"/><Relationship Id="rId500" Type="http://schemas.openxmlformats.org/officeDocument/2006/relationships/hyperlink" Target="https://openalex.org/A5055122966" TargetMode="External"/><Relationship Id="rId501" Type="http://schemas.openxmlformats.org/officeDocument/2006/relationships/hyperlink" Target="http://planning.eas.ualberta.ca/" TargetMode="External"/><Relationship Id="rId502" Type="http://schemas.openxmlformats.org/officeDocument/2006/relationships/hyperlink" Target="https://openalex.org/A5085787037" TargetMode="External"/><Relationship Id="rId503" Type="http://schemas.openxmlformats.org/officeDocument/2006/relationships/hyperlink" Target="https://openalex.org/A5120149817" TargetMode="External"/><Relationship Id="rId504" Type="http://schemas.openxmlformats.org/officeDocument/2006/relationships/hyperlink" Target="https://openalex.org/A5128334584" TargetMode="External"/><Relationship Id="rId505" Type="http://schemas.openxmlformats.org/officeDocument/2006/relationships/hyperlink" Target="https://openalex.org/A5135235917" TargetMode="External"/><Relationship Id="rId506" Type="http://schemas.openxmlformats.org/officeDocument/2006/relationships/hyperlink" Target="https://openalex.org/A5059457745" TargetMode="External"/><Relationship Id="rId507" Type="http://schemas.openxmlformats.org/officeDocument/2006/relationships/hyperlink" Target="http://laup.arch.tamu.edu/" TargetMode="External"/><Relationship Id="rId508" Type="http://schemas.openxmlformats.org/officeDocument/2006/relationships/hyperlink" Target="https://openalex.org/A5006052564" TargetMode="External"/><Relationship Id="rId509" Type="http://schemas.openxmlformats.org/officeDocument/2006/relationships/hyperlink" Target="https://openalex.org/A5045546250" TargetMode="External"/><Relationship Id="rId510" Type="http://schemas.openxmlformats.org/officeDocument/2006/relationships/hyperlink" Target="https://openalex.org/A5063587563" TargetMode="External"/><Relationship Id="rId511" Type="http://schemas.openxmlformats.org/officeDocument/2006/relationships/hyperlink" Target="http://pdx.edu/usp/master-urban-and-regional-planning-murp" TargetMode="External"/><Relationship Id="rId512" Type="http://schemas.openxmlformats.org/officeDocument/2006/relationships/hyperlink" Target="https://openalex.org/A5100328707" TargetMode="External"/><Relationship Id="rId513" Type="http://schemas.openxmlformats.org/officeDocument/2006/relationships/hyperlink" Target="https://openalex.org/A5100328715" TargetMode="External"/><Relationship Id="rId514" Type="http://schemas.openxmlformats.org/officeDocument/2006/relationships/hyperlink" Target="https://openalex.org/A5100328733" TargetMode="External"/><Relationship Id="rId515" Type="http://schemas.openxmlformats.org/officeDocument/2006/relationships/hyperlink" Target="https://openalex.org/A5101680356" TargetMode="External"/><Relationship Id="rId516" Type="http://schemas.openxmlformats.org/officeDocument/2006/relationships/hyperlink" Target="https://openalex.org/A5100328728" TargetMode="External"/><Relationship Id="rId517" Type="http://schemas.openxmlformats.org/officeDocument/2006/relationships/hyperlink" Target="https://www.esad.ulaval.ca/en" TargetMode="External"/><Relationship Id="rId518" Type="http://schemas.openxmlformats.org/officeDocument/2006/relationships/hyperlink" Target="https://openalex.org/A5013070159" TargetMode="External"/><Relationship Id="rId519" Type="http://schemas.openxmlformats.org/officeDocument/2006/relationships/hyperlink" Target="https://openalex.org/A5113967102" TargetMode="External"/><Relationship Id="rId520" Type="http://schemas.openxmlformats.org/officeDocument/2006/relationships/hyperlink" Target="https://openalex.org/A5136352209" TargetMode="External"/><Relationship Id="rId521" Type="http://schemas.openxmlformats.org/officeDocument/2006/relationships/hyperlink" Target="https://openalex.org/A5134018016" TargetMode="External"/><Relationship Id="rId522" Type="http://schemas.openxmlformats.org/officeDocument/2006/relationships/hyperlink" Target="https://openalex.org/A5134676173" TargetMode="External"/><Relationship Id="rId523" Type="http://schemas.openxmlformats.org/officeDocument/2006/relationships/hyperlink" Target="https://www.queensu.ca/geographyandplanning/surp/" TargetMode="External"/><Relationship Id="rId524" Type="http://schemas.openxmlformats.org/officeDocument/2006/relationships/hyperlink" Target="https://openalex.org/A5111884245" TargetMode="External"/><Relationship Id="rId525" Type="http://schemas.openxmlformats.org/officeDocument/2006/relationships/hyperlink" Target="https://openalex.org/A5113469189" TargetMode="External"/><Relationship Id="rId526" Type="http://schemas.openxmlformats.org/officeDocument/2006/relationships/hyperlink" Target="https://openalex.org/A5009008603" TargetMode="External"/><Relationship Id="rId527" Type="http://schemas.openxmlformats.org/officeDocument/2006/relationships/hyperlink" Target="http://geography.utoronto.ca/graduate-planning/" TargetMode="External"/><Relationship Id="rId528" Type="http://schemas.openxmlformats.org/officeDocument/2006/relationships/hyperlink" Target="https://openalex.org/A5053169940" TargetMode="External"/><Relationship Id="rId529" Type="http://schemas.openxmlformats.org/officeDocument/2006/relationships/hyperlink" Target="https://openalex.org/A5147506309" TargetMode="External"/><Relationship Id="rId530" Type="http://schemas.openxmlformats.org/officeDocument/2006/relationships/hyperlink" Target="https://openalex.org/A5070127172" TargetMode="External"/><Relationship Id="rId531" Type="http://schemas.openxmlformats.org/officeDocument/2006/relationships/hyperlink" Target="https://openalex.org/A5084344341" TargetMode="External"/><Relationship Id="rId532" Type="http://schemas.openxmlformats.org/officeDocument/2006/relationships/hyperlink" Target="http://dusp.mit.edu/" TargetMode="External"/><Relationship Id="rId533" Type="http://schemas.openxmlformats.org/officeDocument/2006/relationships/hyperlink" Target="https://openalex.org/A5103110896" TargetMode="External"/><Relationship Id="rId534" Type="http://schemas.openxmlformats.org/officeDocument/2006/relationships/hyperlink" Target="https://openalex.org/A5101656348" TargetMode="External"/><Relationship Id="rId535" Type="http://schemas.openxmlformats.org/officeDocument/2006/relationships/hyperlink" Target="https://openalex.org/A5100724015" TargetMode="External"/><Relationship Id="rId536" Type="http://schemas.openxmlformats.org/officeDocument/2006/relationships/hyperlink" Target="https://openalex.org/A5003975585" TargetMode="External"/><Relationship Id="rId537" Type="http://schemas.openxmlformats.org/officeDocument/2006/relationships/hyperlink" Target="https://openalex.org/A5107894359" TargetMode="External"/><Relationship Id="rId538" Type="http://schemas.openxmlformats.org/officeDocument/2006/relationships/hyperlink" Target="http://spdc.msu.edu/programs/urban_and_regional_planning" TargetMode="External"/><Relationship Id="rId539" Type="http://schemas.openxmlformats.org/officeDocument/2006/relationships/hyperlink" Target="https://openalex.org/A5056989854" TargetMode="External"/><Relationship Id="rId540" Type="http://schemas.openxmlformats.org/officeDocument/2006/relationships/hyperlink" Target="https://openalex.org/A5027722530" TargetMode="External"/><Relationship Id="rId541" Type="http://schemas.openxmlformats.org/officeDocument/2006/relationships/hyperlink" Target="https://openalex.org/A5071603430" TargetMode="External"/><Relationship Id="rId542" Type="http://schemas.openxmlformats.org/officeDocument/2006/relationships/hyperlink" Target="https://openalex.org/A5048611220" TargetMode="External"/><Relationship Id="rId543" Type="http://schemas.openxmlformats.org/officeDocument/2006/relationships/hyperlink" Target="https://openalex.org/A5107978370" TargetMode="External"/><Relationship Id="rId544" Type="http://schemas.openxmlformats.org/officeDocument/2006/relationships/hyperlink" Target="http://arch.virginia.edu/urban-environmental-planning" TargetMode="External"/><Relationship Id="rId545" Type="http://schemas.openxmlformats.org/officeDocument/2006/relationships/hyperlink" Target="https://openalex.org/A5089529760" TargetMode="External"/><Relationship Id="rId546" Type="http://schemas.openxmlformats.org/officeDocument/2006/relationships/hyperlink" Target="https://openalex.org/A5112640076" TargetMode="External"/><Relationship Id="rId547" Type="http://schemas.openxmlformats.org/officeDocument/2006/relationships/hyperlink" Target="https://openalex.org/A5028172464" TargetMode="External"/><Relationship Id="rId548" Type="http://schemas.openxmlformats.org/officeDocument/2006/relationships/hyperlink" Target="https://openalex.org/A5112017490" TargetMode="External"/><Relationship Id="rId549" Type="http://schemas.openxmlformats.org/officeDocument/2006/relationships/hyperlink" Target="https://openalex.org/A5103868655" TargetMode="External"/><Relationship Id="rId550" Type="http://schemas.openxmlformats.org/officeDocument/2006/relationships/hyperlink" Target="http://arch.virginia.edu/urban-environmental-planning" TargetMode="External"/><Relationship Id="rId551" Type="http://schemas.openxmlformats.org/officeDocument/2006/relationships/hyperlink" Target="https://openalex.org/A5109193437" TargetMode="External"/><Relationship Id="rId552" Type="http://schemas.openxmlformats.org/officeDocument/2006/relationships/hyperlink" Target="https://openalex.org/A5018163213" TargetMode="External"/><Relationship Id="rId553" Type="http://schemas.openxmlformats.org/officeDocument/2006/relationships/hyperlink" Target="https://openalex.org/A5024221492" TargetMode="External"/><Relationship Id="rId554" Type="http://schemas.openxmlformats.org/officeDocument/2006/relationships/hyperlink" Target="https://openalex.org/A5113644437" TargetMode="External"/><Relationship Id="rId555" Type="http://schemas.openxmlformats.org/officeDocument/2006/relationships/hyperlink" Target="https://openalex.org/A5109000992" TargetMode="External"/><Relationship Id="rId556" Type="http://schemas.openxmlformats.org/officeDocument/2006/relationships/hyperlink" Target="http://arch.columbia.edu/programs/10-m-s-urban-planning" TargetMode="External"/><Relationship Id="rId557" Type="http://schemas.openxmlformats.org/officeDocument/2006/relationships/hyperlink" Target="https://openalex.org/A5101413878" TargetMode="External"/><Relationship Id="rId558" Type="http://schemas.openxmlformats.org/officeDocument/2006/relationships/hyperlink" Target="https://openalex.org/A5101413877" TargetMode="External"/><Relationship Id="rId559" Type="http://schemas.openxmlformats.org/officeDocument/2006/relationships/hyperlink" Target="https://openalex.org/A5102301149" TargetMode="External"/><Relationship Id="rId560" Type="http://schemas.openxmlformats.org/officeDocument/2006/relationships/hyperlink" Target="https://openalex.org/A5089012962" TargetMode="External"/><Relationship Id="rId561" Type="http://schemas.openxmlformats.org/officeDocument/2006/relationships/hyperlink" Target="https://openalex.org/A5108585947" TargetMode="External"/><Relationship Id="rId562" Type="http://schemas.openxmlformats.org/officeDocument/2006/relationships/hyperlink" Target="http://aap.cornell.edu/academics/crp" TargetMode="External"/><Relationship Id="rId563" Type="http://schemas.openxmlformats.org/officeDocument/2006/relationships/hyperlink" Target="https://openalex.org/A5042450429" TargetMode="External"/><Relationship Id="rId564" Type="http://schemas.openxmlformats.org/officeDocument/2006/relationships/hyperlink" Target="https://openalex.org/A5062166205" TargetMode="External"/><Relationship Id="rId565" Type="http://schemas.openxmlformats.org/officeDocument/2006/relationships/hyperlink" Target="https://openalex.org/A5074356169" TargetMode="External"/><Relationship Id="rId566" Type="http://schemas.openxmlformats.org/officeDocument/2006/relationships/hyperlink" Target="https://openalex.org/A5108489962" TargetMode="External"/><Relationship Id="rId567" Type="http://schemas.openxmlformats.org/officeDocument/2006/relationships/hyperlink" Target="https://openalex.org/A5140480217" TargetMode="External"/><Relationship Id="rId568" Type="http://schemas.openxmlformats.org/officeDocument/2006/relationships/hyperlink" Target="http://pppm.uoregon.edu/" TargetMode="External"/><Relationship Id="rId569" Type="http://schemas.openxmlformats.org/officeDocument/2006/relationships/hyperlink" Target="https://openalex.org/A5024005394" TargetMode="External"/><Relationship Id="rId570" Type="http://schemas.openxmlformats.org/officeDocument/2006/relationships/hyperlink" Target="https://openalex.org/A5100892827" TargetMode="External"/><Relationship Id="rId571" Type="http://schemas.openxmlformats.org/officeDocument/2006/relationships/hyperlink" Target="https://openalex.org/A5121785882" TargetMode="External"/><Relationship Id="rId572" Type="http://schemas.openxmlformats.org/officeDocument/2006/relationships/hyperlink" Target="https://openalex.org/A5137844673" TargetMode="External"/><Relationship Id="rId573" Type="http://schemas.openxmlformats.org/officeDocument/2006/relationships/hyperlink" Target="https://openalex.org/A5102184150" TargetMode="External"/><Relationship Id="rId574" Type="http://schemas.openxmlformats.org/officeDocument/2006/relationships/hyperlink" Target="http://ap.buffalo.edu/academics/graduate-degrees/mup.html" TargetMode="External"/><Relationship Id="rId575" Type="http://schemas.openxmlformats.org/officeDocument/2006/relationships/hyperlink" Target="https://openalex.org/A5100672017" TargetMode="External"/><Relationship Id="rId576" Type="http://schemas.openxmlformats.org/officeDocument/2006/relationships/hyperlink" Target="https://openalex.org/A5100759456" TargetMode="External"/><Relationship Id="rId577" Type="http://schemas.openxmlformats.org/officeDocument/2006/relationships/hyperlink" Target="https://openalex.org/A5058610487" TargetMode="External"/><Relationship Id="rId578" Type="http://schemas.openxmlformats.org/officeDocument/2006/relationships/hyperlink" Target="https://openalex.org/A5053763458" TargetMode="External"/><Relationship Id="rId579" Type="http://schemas.openxmlformats.org/officeDocument/2006/relationships/hyperlink" Target="https://openalex.org/A5100620243" TargetMode="External"/><Relationship Id="rId580" Type="http://schemas.openxmlformats.org/officeDocument/2006/relationships/hyperlink" Target="http://laup.arch.tamu.edu/" TargetMode="External"/><Relationship Id="rId581" Type="http://schemas.openxmlformats.org/officeDocument/2006/relationships/hyperlink" Target="https://openalex.org/A5100714673" TargetMode="External"/><Relationship Id="rId582" Type="http://schemas.openxmlformats.org/officeDocument/2006/relationships/hyperlink" Target="https://openalex.org/A5137079775" TargetMode="External"/><Relationship Id="rId583" Type="http://schemas.openxmlformats.org/officeDocument/2006/relationships/hyperlink" Target="https://openalex.org/A5100714669" TargetMode="External"/><Relationship Id="rId584" Type="http://schemas.openxmlformats.org/officeDocument/2006/relationships/hyperlink" Target="https://openalex.org/A5122349434" TargetMode="External"/><Relationship Id="rId585" Type="http://schemas.openxmlformats.org/officeDocument/2006/relationships/hyperlink" Target="https://openalex.org/A5100714671" TargetMode="External"/><Relationship Id="rId586" Type="http://schemas.openxmlformats.org/officeDocument/2006/relationships/hyperlink" Target="http://dusp.mit.edu/" TargetMode="External"/><Relationship Id="rId587" Type="http://schemas.openxmlformats.org/officeDocument/2006/relationships/hyperlink" Target="https://openalex.org/A5111754321" TargetMode="External"/><Relationship Id="rId588" Type="http://schemas.openxmlformats.org/officeDocument/2006/relationships/hyperlink" Target="https://openalex.org/A5032312656" TargetMode="External"/><Relationship Id="rId589" Type="http://schemas.openxmlformats.org/officeDocument/2006/relationships/hyperlink" Target="https://openalex.org/A5065369145" TargetMode="External"/><Relationship Id="rId590" Type="http://schemas.openxmlformats.org/officeDocument/2006/relationships/hyperlink" Target="https://openalex.org/A5150109085" TargetMode="External"/><Relationship Id="rId591" Type="http://schemas.openxmlformats.org/officeDocument/2006/relationships/hyperlink" Target="http://bloustein.rutgers.edu/graduate/uppd/" TargetMode="External"/><Relationship Id="rId592" Type="http://schemas.openxmlformats.org/officeDocument/2006/relationships/hyperlink" Target="https://openalex.org/A5100401848" TargetMode="External"/><Relationship Id="rId593" Type="http://schemas.openxmlformats.org/officeDocument/2006/relationships/hyperlink" Target="https://openalex.org/A5100401849" TargetMode="External"/><Relationship Id="rId594" Type="http://schemas.openxmlformats.org/officeDocument/2006/relationships/hyperlink" Target="https://openalex.org/A5059498909" TargetMode="External"/><Relationship Id="rId595" Type="http://schemas.openxmlformats.org/officeDocument/2006/relationships/hyperlink" Target="https://openalex.org/A5100401863" TargetMode="External"/><Relationship Id="rId596" Type="http://schemas.openxmlformats.org/officeDocument/2006/relationships/hyperlink" Target="https://openalex.org/A5100401859" TargetMode="External"/><Relationship Id="rId597" Type="http://schemas.openxmlformats.org/officeDocument/2006/relationships/hyperlink" Target="http://dusp.mit.edu/" TargetMode="External"/><Relationship Id="rId598" Type="http://schemas.openxmlformats.org/officeDocument/2006/relationships/hyperlink" Target="https://openalex.org/A5014586639" TargetMode="External"/><Relationship Id="rId599" Type="http://schemas.openxmlformats.org/officeDocument/2006/relationships/hyperlink" Target="https://openalex.org/A5022751093" TargetMode="External"/><Relationship Id="rId600" Type="http://schemas.openxmlformats.org/officeDocument/2006/relationships/hyperlink" Target="https://openalex.org/A5044259117" TargetMode="External"/><Relationship Id="rId601" Type="http://schemas.openxmlformats.org/officeDocument/2006/relationships/hyperlink" Target="https://openalex.org/A5134568156" TargetMode="External"/><Relationship Id="rId602" Type="http://schemas.openxmlformats.org/officeDocument/2006/relationships/hyperlink" Target="https://openalex.org/A5101700479" TargetMode="External"/><Relationship Id="rId603" Type="http://schemas.openxmlformats.org/officeDocument/2006/relationships/hyperlink" Target="http://urban.uiowa.edu/" TargetMode="External"/><Relationship Id="rId604" Type="http://schemas.openxmlformats.org/officeDocument/2006/relationships/hyperlink" Target="https://openalex.org/A5069620263" TargetMode="External"/><Relationship Id="rId605" Type="http://schemas.openxmlformats.org/officeDocument/2006/relationships/hyperlink" Target="https://openalex.org/A5007213837" TargetMode="External"/><Relationship Id="rId606" Type="http://schemas.openxmlformats.org/officeDocument/2006/relationships/hyperlink" Target="https://openalex.org/A5125457985" TargetMode="External"/><Relationship Id="rId607" Type="http://schemas.openxmlformats.org/officeDocument/2006/relationships/hyperlink" Target="https://openalex.org/A5114868818" TargetMode="External"/><Relationship Id="rId608" Type="http://schemas.openxmlformats.org/officeDocument/2006/relationships/hyperlink" Target="https://openalex.org/A5037043373" TargetMode="External"/><Relationship Id="rId609" Type="http://schemas.openxmlformats.org/officeDocument/2006/relationships/hyperlink" Target="http://planning.calpoly.edu/" TargetMode="External"/><Relationship Id="rId610" Type="http://schemas.openxmlformats.org/officeDocument/2006/relationships/hyperlink" Target="https://openalex.org/A5113501559" TargetMode="External"/><Relationship Id="rId611" Type="http://schemas.openxmlformats.org/officeDocument/2006/relationships/hyperlink" Target="https://openalex.org/A5093426922" TargetMode="External"/><Relationship Id="rId612" Type="http://schemas.openxmlformats.org/officeDocument/2006/relationships/hyperlink" Target="https://openalex.org/A5078026541" TargetMode="External"/><Relationship Id="rId613" Type="http://schemas.openxmlformats.org/officeDocument/2006/relationships/hyperlink" Target="https://openalex.org/A5064836191" TargetMode="External"/><Relationship Id="rId614" Type="http://schemas.openxmlformats.org/officeDocument/2006/relationships/hyperlink" Target="https://openalex.org/A5008998984" TargetMode="External"/><Relationship Id="rId615" Type="http://schemas.openxmlformats.org/officeDocument/2006/relationships/hyperlink" Target="http://memphis.edu/planning/" TargetMode="External"/><Relationship Id="rId616" Type="http://schemas.openxmlformats.org/officeDocument/2006/relationships/hyperlink" Target="https://openalex.org/A5018423086" TargetMode="External"/><Relationship Id="rId617" Type="http://schemas.openxmlformats.org/officeDocument/2006/relationships/hyperlink" Target="http://planning.gatech.edu/" TargetMode="External"/><Relationship Id="rId618" Type="http://schemas.openxmlformats.org/officeDocument/2006/relationships/hyperlink" Target="https://openalex.org/A5025248819" TargetMode="External"/><Relationship Id="rId619" Type="http://schemas.openxmlformats.org/officeDocument/2006/relationships/hyperlink" Target="https://openalex.org/A5095637931" TargetMode="External"/><Relationship Id="rId620" Type="http://schemas.openxmlformats.org/officeDocument/2006/relationships/hyperlink" Target="https://openalex.org/A5140055220" TargetMode="External"/><Relationship Id="rId621" Type="http://schemas.openxmlformats.org/officeDocument/2006/relationships/hyperlink" Target="https://openalex.org/A5029864962" TargetMode="External"/><Relationship Id="rId622" Type="http://schemas.openxmlformats.org/officeDocument/2006/relationships/hyperlink" Target="https://openalex.org/A5146908896" TargetMode="External"/><Relationship Id="rId623" Type="http://schemas.openxmlformats.org/officeDocument/2006/relationships/hyperlink" Target="http://planning.gatech.edu/" TargetMode="External"/><Relationship Id="rId624" Type="http://schemas.openxmlformats.org/officeDocument/2006/relationships/hyperlink" Target="https://openalex.org/A5014820761" TargetMode="External"/><Relationship Id="rId625" Type="http://schemas.openxmlformats.org/officeDocument/2006/relationships/hyperlink" Target="https://openalex.org/A5044478033" TargetMode="External"/><Relationship Id="rId626" Type="http://schemas.openxmlformats.org/officeDocument/2006/relationships/hyperlink" Target="http://planning.unc.edu/" TargetMode="External"/><Relationship Id="rId627" Type="http://schemas.openxmlformats.org/officeDocument/2006/relationships/hyperlink" Target="https://openalex.org/A5082676449" TargetMode="External"/><Relationship Id="rId628" Type="http://schemas.openxmlformats.org/officeDocument/2006/relationships/hyperlink" Target="https://openalex.org/A5034814078" TargetMode="External"/><Relationship Id="rId629" Type="http://schemas.openxmlformats.org/officeDocument/2006/relationships/hyperlink" Target="http://coss.fsu.edu/durp/" TargetMode="External"/><Relationship Id="rId630" Type="http://schemas.openxmlformats.org/officeDocument/2006/relationships/hyperlink" Target="https://openalex.org/A5091110764" TargetMode="External"/><Relationship Id="rId631" Type="http://schemas.openxmlformats.org/officeDocument/2006/relationships/hyperlink" Target="https://openalex.org/A5111376644" TargetMode="External"/><Relationship Id="rId632" Type="http://schemas.openxmlformats.org/officeDocument/2006/relationships/hyperlink" Target="https://openalex.org/A5075131493" TargetMode="External"/><Relationship Id="rId633" Type="http://schemas.openxmlformats.org/officeDocument/2006/relationships/hyperlink" Target="https://openalex.org/A5079773631" TargetMode="External"/><Relationship Id="rId634" Type="http://schemas.openxmlformats.org/officeDocument/2006/relationships/hyperlink" Target="https://openalex.org/A5072309521" TargetMode="External"/><Relationship Id="rId635" Type="http://schemas.openxmlformats.org/officeDocument/2006/relationships/hyperlink" Target="http://uoguelph.ca/sedrd/rural-planning-development" TargetMode="External"/><Relationship Id="rId636" Type="http://schemas.openxmlformats.org/officeDocument/2006/relationships/hyperlink" Target="https://openalex.org/A5057268347" TargetMode="External"/><Relationship Id="rId637" Type="http://schemas.openxmlformats.org/officeDocument/2006/relationships/hyperlink" Target="https://openalex.org/A5021020232" TargetMode="External"/><Relationship Id="rId638" Type="http://schemas.openxmlformats.org/officeDocument/2006/relationships/hyperlink" Target="http://plan.cap.utah.edu/" TargetMode="External"/><Relationship Id="rId639" Type="http://schemas.openxmlformats.org/officeDocument/2006/relationships/hyperlink" Target="https://openalex.org/A5042656626" TargetMode="External"/><Relationship Id="rId640" Type="http://schemas.openxmlformats.org/officeDocument/2006/relationships/hyperlink" Target="https://openalex.org/A5010450933" TargetMode="External"/><Relationship Id="rId641" Type="http://schemas.openxmlformats.org/officeDocument/2006/relationships/hyperlink" Target="https://openalex.org/A5102771230" TargetMode="External"/><Relationship Id="rId642" Type="http://schemas.openxmlformats.org/officeDocument/2006/relationships/hyperlink" Target="https://openalex.org/A5026096668" TargetMode="External"/><Relationship Id="rId643" Type="http://schemas.openxmlformats.org/officeDocument/2006/relationships/hyperlink" Target="https://openalex.org/A5040105632" TargetMode="External"/><Relationship Id="rId644" Type="http://schemas.openxmlformats.org/officeDocument/2006/relationships/hyperlink" Target="https://usp.ucsd.edu/" TargetMode="External"/><Relationship Id="rId645" Type="http://schemas.openxmlformats.org/officeDocument/2006/relationships/hyperlink" Target="https://openalex.org/A5079666837" TargetMode="External"/><Relationship Id="rId646" Type="http://schemas.openxmlformats.org/officeDocument/2006/relationships/hyperlink" Target="http://spdc.msu.edu/programs/urban_and_regional_planning" TargetMode="External"/><Relationship Id="rId647" Type="http://schemas.openxmlformats.org/officeDocument/2006/relationships/hyperlink" Target="https://openalex.org/A5112609489" TargetMode="External"/><Relationship Id="rId648" Type="http://schemas.openxmlformats.org/officeDocument/2006/relationships/hyperlink" Target="https://openalex.org/A5100366211" TargetMode="External"/><Relationship Id="rId649" Type="http://schemas.openxmlformats.org/officeDocument/2006/relationships/hyperlink" Target="https://openalex.org/A5100366215" TargetMode="External"/><Relationship Id="rId650" Type="http://schemas.openxmlformats.org/officeDocument/2006/relationships/hyperlink" Target="https://openalex.org/A5101756587" TargetMode="External"/><Relationship Id="rId651" Type="http://schemas.openxmlformats.org/officeDocument/2006/relationships/hyperlink" Target="https://openalex.org/A5073464445" TargetMode="External"/><Relationship Id="rId652" Type="http://schemas.openxmlformats.org/officeDocument/2006/relationships/hyperlink" Target="https://www2.unbc.ca/environmental-planning" TargetMode="External"/><Relationship Id="rId653" Type="http://schemas.openxmlformats.org/officeDocument/2006/relationships/hyperlink" Target="https://openalex.org/A5008995236" TargetMode="External"/><Relationship Id="rId654" Type="http://schemas.openxmlformats.org/officeDocument/2006/relationships/hyperlink" Target="http://pppm.uoregon.edu/" TargetMode="External"/><Relationship Id="rId655" Type="http://schemas.openxmlformats.org/officeDocument/2006/relationships/hyperlink" Target="https://openalex.org/A5111702905" TargetMode="External"/><Relationship Id="rId656" Type="http://schemas.openxmlformats.org/officeDocument/2006/relationships/hyperlink" Target="https://openalex.org/A5041658601" TargetMode="External"/><Relationship Id="rId657" Type="http://schemas.openxmlformats.org/officeDocument/2006/relationships/hyperlink" Target="https://openalex.org/A5077758208" TargetMode="External"/><Relationship Id="rId658" Type="http://schemas.openxmlformats.org/officeDocument/2006/relationships/hyperlink" Target="https://openalex.org/A5102776727" TargetMode="External"/><Relationship Id="rId659" Type="http://schemas.openxmlformats.org/officeDocument/2006/relationships/hyperlink" Target="https://openalex.org/A5146539048" TargetMode="External"/><Relationship Id="rId660" Type="http://schemas.openxmlformats.org/officeDocument/2006/relationships/hyperlink" Target="http://pppm.uoregon.edu/" TargetMode="External"/><Relationship Id="rId661" Type="http://schemas.openxmlformats.org/officeDocument/2006/relationships/hyperlink" Target="https://openalex.org/A5095843817" TargetMode="External"/><Relationship Id="rId662" Type="http://schemas.openxmlformats.org/officeDocument/2006/relationships/hyperlink" Target="https://openalex.org/A5099250876" TargetMode="External"/><Relationship Id="rId663" Type="http://schemas.openxmlformats.org/officeDocument/2006/relationships/hyperlink" Target="http://ced.uga.edu/degrees/mepd/" TargetMode="External"/><Relationship Id="rId664" Type="http://schemas.openxmlformats.org/officeDocument/2006/relationships/hyperlink" Target="https://openalex.org/A5110601826" TargetMode="External"/><Relationship Id="rId665" Type="http://schemas.openxmlformats.org/officeDocument/2006/relationships/hyperlink" Target="https://openalex.org/A5112327844" TargetMode="External"/><Relationship Id="rId666" Type="http://schemas.openxmlformats.org/officeDocument/2006/relationships/hyperlink" Target="https://openalex.org/A5004094115" TargetMode="External"/><Relationship Id="rId667" Type="http://schemas.openxmlformats.org/officeDocument/2006/relationships/hyperlink" Target="https://openalex.org/A5128505389" TargetMode="External"/><Relationship Id="rId668" Type="http://schemas.openxmlformats.org/officeDocument/2006/relationships/hyperlink" Target="https://openalex.org/A5000285728" TargetMode="External"/><Relationship Id="rId669" Type="http://schemas.openxmlformats.org/officeDocument/2006/relationships/hyperlink" Target="https://www.bidenschool.udel.edu/masters-programs/masters-programs/m-a-in-urban-affairs-public-policy" TargetMode="External"/><Relationship Id="rId670" Type="http://schemas.openxmlformats.org/officeDocument/2006/relationships/hyperlink" Target="https://openalex.org/A5010069502" TargetMode="External"/><Relationship Id="rId671" Type="http://schemas.openxmlformats.org/officeDocument/2006/relationships/hyperlink" Target="https://openalex.org/A5008028465" TargetMode="External"/><Relationship Id="rId672" Type="http://schemas.openxmlformats.org/officeDocument/2006/relationships/hyperlink" Target="https://openalex.org/A5075222770" TargetMode="External"/><Relationship Id="rId673" Type="http://schemas.openxmlformats.org/officeDocument/2006/relationships/hyperlink" Target="https://tyler.temple.edu/programs/planning-community-development" TargetMode="External"/><Relationship Id="rId674" Type="http://schemas.openxmlformats.org/officeDocument/2006/relationships/hyperlink" Target="https://openalex.org/A5052260807" TargetMode="External"/><Relationship Id="rId675" Type="http://schemas.openxmlformats.org/officeDocument/2006/relationships/hyperlink" Target="http://www.aamu.edu/academics/alns/crp/pages/default.aspx" TargetMode="External"/><Relationship Id="rId676" Type="http://schemas.openxmlformats.org/officeDocument/2006/relationships/hyperlink" Target="https://openalex.org/A5091437041" TargetMode="External"/><Relationship Id="rId677" Type="http://schemas.openxmlformats.org/officeDocument/2006/relationships/hyperlink" Target="https://openalex.org/A5120149276" TargetMode="External"/><Relationship Id="rId678" Type="http://schemas.openxmlformats.org/officeDocument/2006/relationships/hyperlink" Target="http://ucdenver.edu/academics/colleges/ArchitecturePlanning/Academics/DegreePrograms/MURP/Pages/MURP.aspx" TargetMode="External"/><Relationship Id="rId679" Type="http://schemas.openxmlformats.org/officeDocument/2006/relationships/hyperlink" Target="https://openalex.org/A5041002227" TargetMode="External"/><Relationship Id="rId680" Type="http://schemas.openxmlformats.org/officeDocument/2006/relationships/hyperlink" Target="http://uwm.edu/sarup/program/planning/" TargetMode="External"/><Relationship Id="rId681" Type="http://schemas.openxmlformats.org/officeDocument/2006/relationships/hyperlink" Target="https://openalex.org/A5084368332" TargetMode="External"/><Relationship Id="rId682" Type="http://schemas.openxmlformats.org/officeDocument/2006/relationships/hyperlink" Target="http://urban.illinois.edu/" TargetMode="External"/><Relationship Id="rId683" Type="http://schemas.openxmlformats.org/officeDocument/2006/relationships/hyperlink" Target="https://openalex.org/A5024656408" TargetMode="External"/><Relationship Id="rId684" Type="http://schemas.openxmlformats.org/officeDocument/2006/relationships/hyperlink" Target="https://www.uno.edu/academics/colaehd/la/planning-and-urban-studies" TargetMode="External"/><Relationship Id="rId685" Type="http://schemas.openxmlformats.org/officeDocument/2006/relationships/hyperlink" Target="https://openalex.org/A5125920952" TargetMode="External"/><Relationship Id="rId686" Type="http://schemas.openxmlformats.org/officeDocument/2006/relationships/hyperlink" Target="http://dusp.mit.edu/" TargetMode="External"/><Relationship Id="rId687" Type="http://schemas.openxmlformats.org/officeDocument/2006/relationships/hyperlink" Target="https://openalex.org/A5017966645" TargetMode="External"/><Relationship Id="rId688" Type="http://schemas.openxmlformats.org/officeDocument/2006/relationships/hyperlink" Target="https://openalex.org/A5144067282" TargetMode="External"/><Relationship Id="rId689" Type="http://schemas.openxmlformats.org/officeDocument/2006/relationships/hyperlink" Target="http://capla.arizona.edu/planning-program" TargetMode="External"/><Relationship Id="rId690" Type="http://schemas.openxmlformats.org/officeDocument/2006/relationships/hyperlink" Target="https://openalex.org/A5036410753" TargetMode="External"/><Relationship Id="rId691" Type="http://schemas.openxmlformats.org/officeDocument/2006/relationships/hyperlink" Target="https://openalex.org/A5011129537" TargetMode="External"/><Relationship Id="rId692" Type="http://schemas.openxmlformats.org/officeDocument/2006/relationships/hyperlink" Target="https://openalex.org/A5136340999" TargetMode="External"/><Relationship Id="rId693" Type="http://schemas.openxmlformats.org/officeDocument/2006/relationships/hyperlink" Target="https://openalex.org/A5079114525" TargetMode="External"/><Relationship Id="rId694" Type="http://schemas.openxmlformats.org/officeDocument/2006/relationships/hyperlink" Target="https://openalex.org/A5103595651" TargetMode="External"/><Relationship Id="rId695" Type="http://schemas.openxmlformats.org/officeDocument/2006/relationships/hyperlink" Target="http://dal.ca/faculty/architecture-planning/school-of-planning.html" TargetMode="External"/><Relationship Id="rId696" Type="http://schemas.openxmlformats.org/officeDocument/2006/relationships/hyperlink" Target="https://openalex.org/A5005222276" TargetMode="External"/><Relationship Id="rId697" Type="http://schemas.openxmlformats.org/officeDocument/2006/relationships/hyperlink" Target="https://openalex.org/A5101673834" TargetMode="External"/><Relationship Id="rId698" Type="http://schemas.openxmlformats.org/officeDocument/2006/relationships/hyperlink" Target="https://openalex.org/A5102609795" TargetMode="External"/><Relationship Id="rId699" Type="http://schemas.openxmlformats.org/officeDocument/2006/relationships/hyperlink" Target="https://openalex.org/A5074993588" TargetMode="External"/><Relationship Id="rId700" Type="http://schemas.openxmlformats.org/officeDocument/2006/relationships/hyperlink" Target="https://openalex.org/A5104037407" TargetMode="External"/><Relationship Id="rId701" Type="http://schemas.openxmlformats.org/officeDocument/2006/relationships/hyperlink" Target="http://laup.arch.tamu.edu/" TargetMode="External"/><Relationship Id="rId702" Type="http://schemas.openxmlformats.org/officeDocument/2006/relationships/hyperlink" Target="https://openalex.org/A5028899129" TargetMode="External"/><Relationship Id="rId703" Type="http://schemas.openxmlformats.org/officeDocument/2006/relationships/hyperlink" Target="http://arch.umd.edu/ursp/urban-studies-and-planning" TargetMode="External"/><Relationship Id="rId704" Type="http://schemas.openxmlformats.org/officeDocument/2006/relationships/hyperlink" Target="https://openalex.org/A5049322120" TargetMode="External"/><Relationship Id="rId705" Type="http://schemas.openxmlformats.org/officeDocument/2006/relationships/hyperlink" Target="https://openalex.org/A5103973385" TargetMode="External"/><Relationship Id="rId706" Type="http://schemas.openxmlformats.org/officeDocument/2006/relationships/hyperlink" Target="http://scarp.ubc.ca/" TargetMode="External"/><Relationship Id="rId707" Type="http://schemas.openxmlformats.org/officeDocument/2006/relationships/hyperlink" Target="https://openalex.org/A5057973739" TargetMode="External"/><Relationship Id="rId708" Type="http://schemas.openxmlformats.org/officeDocument/2006/relationships/hyperlink" Target="http://ppd.soceco.uci.edu/" TargetMode="External"/><Relationship Id="rId709" Type="http://schemas.openxmlformats.org/officeDocument/2006/relationships/hyperlink" Target="https://openalex.org/A5038943885" TargetMode="External"/><Relationship Id="rId710" Type="http://schemas.openxmlformats.org/officeDocument/2006/relationships/hyperlink" Target="http://spdc.msu.edu/programs/urban_and_regional_planning" TargetMode="External"/><Relationship Id="rId711" Type="http://schemas.openxmlformats.org/officeDocument/2006/relationships/hyperlink" Target="https://openalex.org/A5061427353" TargetMode="External"/><Relationship Id="rId712" Type="http://schemas.openxmlformats.org/officeDocument/2006/relationships/hyperlink" Target="https://openalex.org/A5069367123" TargetMode="External"/><Relationship Id="rId713" Type="http://schemas.openxmlformats.org/officeDocument/2006/relationships/hyperlink" Target="https://openalex.org/A5077221574" TargetMode="External"/><Relationship Id="rId714" Type="http://schemas.openxmlformats.org/officeDocument/2006/relationships/hyperlink" Target="https://openalex.org/A5079083347" TargetMode="External"/><Relationship Id="rId715" Type="http://schemas.openxmlformats.org/officeDocument/2006/relationships/hyperlink" Target="https://openalex.org/A5103602821" TargetMode="External"/><Relationship Id="rId716" Type="http://schemas.openxmlformats.org/officeDocument/2006/relationships/hyperlink" Target="http://architecture.njit.edu/academics/graduate/mip.php" TargetMode="External"/><Relationship Id="rId717" Type="http://schemas.openxmlformats.org/officeDocument/2006/relationships/hyperlink" Target="https://openalex.org/A5017654492" TargetMode="External"/><Relationship Id="rId718" Type="http://schemas.openxmlformats.org/officeDocument/2006/relationships/hyperlink" Target="https://klesse.utsa.edu/architecture-planning/msurp.html" TargetMode="External"/><Relationship Id="rId719" Type="http://schemas.openxmlformats.org/officeDocument/2006/relationships/hyperlink" Target="https://openalex.org/A5020065179" TargetMode="External"/><Relationship Id="rId720" Type="http://schemas.openxmlformats.org/officeDocument/2006/relationships/hyperlink" Target="https://openalex.org/A5024188924" TargetMode="External"/><Relationship Id="rId721" Type="http://schemas.openxmlformats.org/officeDocument/2006/relationships/hyperlink" Target="https://openalex.org/A5054840258" TargetMode="External"/><Relationship Id="rId722" Type="http://schemas.openxmlformats.org/officeDocument/2006/relationships/hyperlink" Target="https://openalex.org/A5034285437" TargetMode="External"/><Relationship Id="rId723" Type="http://schemas.openxmlformats.org/officeDocument/2006/relationships/hyperlink" Target="https://openalex.org/A5079503473" TargetMode="External"/><Relationship Id="rId724" Type="http://schemas.openxmlformats.org/officeDocument/2006/relationships/hyperlink" Target="https://www.torontomu.ca/school-of-urban-and-regional-planning/" TargetMode="External"/><Relationship Id="rId725" Type="http://schemas.openxmlformats.org/officeDocument/2006/relationships/hyperlink" Target="https://openalex.org/A5140596687" TargetMode="External"/><Relationship Id="rId726" Type="http://schemas.openxmlformats.org/officeDocument/2006/relationships/hyperlink" Target="http://scarp.ubc.ca/" TargetMode="External"/><Relationship Id="rId727" Type="http://schemas.openxmlformats.org/officeDocument/2006/relationships/hyperlink" Target="https://openalex.org/A5115057905" TargetMode="External"/><Relationship Id="rId728" Type="http://schemas.openxmlformats.org/officeDocument/2006/relationships/hyperlink" Target="https://openalex.org/A5083399767" TargetMode="External"/><Relationship Id="rId729" Type="http://schemas.openxmlformats.org/officeDocument/2006/relationships/hyperlink" Target="https://openalex.org/A5062107373" TargetMode="External"/><Relationship Id="rId730" Type="http://schemas.openxmlformats.org/officeDocument/2006/relationships/hyperlink" Target="https://openalex.org/A5081807736" TargetMode="External"/><Relationship Id="rId731" Type="http://schemas.openxmlformats.org/officeDocument/2006/relationships/hyperlink" Target="https://www.design.upenn.edu/city-regional-planning/graduate/work" TargetMode="External"/><Relationship Id="rId732" Type="http://schemas.openxmlformats.org/officeDocument/2006/relationships/hyperlink" Target="https://openalex.org/A5028443556" TargetMode="External"/><Relationship Id="rId733" Type="http://schemas.openxmlformats.org/officeDocument/2006/relationships/hyperlink" Target="https://openalex.org/A5109215780" TargetMode="External"/><Relationship Id="rId734" Type="http://schemas.openxmlformats.org/officeDocument/2006/relationships/hyperlink" Target="https://openalex.org/A5043409379" TargetMode="External"/><Relationship Id="rId735" Type="http://schemas.openxmlformats.org/officeDocument/2006/relationships/hyperlink" Target="https://openalex.org/A5089494236" TargetMode="External"/><Relationship Id="rId736" Type="http://schemas.openxmlformats.org/officeDocument/2006/relationships/hyperlink" Target="https://openalex.org/A5046539486" TargetMode="External"/><Relationship Id="rId737" Type="http://schemas.openxmlformats.org/officeDocument/2006/relationships/hyperlink" Target="http://capla.arizona.edu/planning-program" TargetMode="External"/><Relationship Id="rId738" Type="http://schemas.openxmlformats.org/officeDocument/2006/relationships/hyperlink" Target="https://openalex.org/A5026465352" TargetMode="External"/><Relationship Id="rId739" Type="http://schemas.openxmlformats.org/officeDocument/2006/relationships/hyperlink" Target="https://openalex.org/A5099719389" TargetMode="External"/><Relationship Id="rId740" Type="http://schemas.openxmlformats.org/officeDocument/2006/relationships/hyperlink" Target="http://arch.umd.edu/ursp/urban-studies-and-planning" TargetMode="External"/><Relationship Id="rId741" Type="http://schemas.openxmlformats.org/officeDocument/2006/relationships/hyperlink" Target="https://openalex.org/A5013165338" TargetMode="External"/><Relationship Id="rId742" Type="http://schemas.openxmlformats.org/officeDocument/2006/relationships/hyperlink" Target="http://geosciences.missouristate.edu/" TargetMode="External"/><Relationship Id="rId743" Type="http://schemas.openxmlformats.org/officeDocument/2006/relationships/hyperlink" Target="https://openalex.org/A5022022969" TargetMode="External"/><Relationship Id="rId744" Type="http://schemas.openxmlformats.org/officeDocument/2006/relationships/hyperlink" Target="http://hhh.umn.edu/masters-degrees/master-urban-and-regional-planning" TargetMode="External"/><Relationship Id="rId745" Type="http://schemas.openxmlformats.org/officeDocument/2006/relationships/hyperlink" Target="https://openalex.org/A5001503458" TargetMode="External"/><Relationship Id="rId746" Type="http://schemas.openxmlformats.org/officeDocument/2006/relationships/hyperlink" Target="https://www.torontomu.ca/school-of-urban-and-regional-planning/" TargetMode="External"/><Relationship Id="rId747" Type="http://schemas.openxmlformats.org/officeDocument/2006/relationships/hyperlink" Target="https://openalex.org/A5008877753" TargetMode="External"/><Relationship Id="rId748" Type="http://schemas.openxmlformats.org/officeDocument/2006/relationships/hyperlink" Target="https://openalex.org/A5070903134" TargetMode="External"/><Relationship Id="rId749" Type="http://schemas.openxmlformats.org/officeDocument/2006/relationships/hyperlink" Target="https://openalex.org/A5127658384" TargetMode="External"/><Relationship Id="rId750" Type="http://schemas.openxmlformats.org/officeDocument/2006/relationships/hyperlink" Target="http://dusp.mit.edu/" TargetMode="External"/><Relationship Id="rId751" Type="http://schemas.openxmlformats.org/officeDocument/2006/relationships/hyperlink" Target="https://openalex.org/A5054022895" TargetMode="External"/><Relationship Id="rId752" Type="http://schemas.openxmlformats.org/officeDocument/2006/relationships/hyperlink" Target="http://planificacion.uprrp.edu/" TargetMode="External"/><Relationship Id="rId753" Type="http://schemas.openxmlformats.org/officeDocument/2006/relationships/hyperlink" Target="https://openalex.org/A5050496605" TargetMode="External"/><Relationship Id="rId754" Type="http://schemas.openxmlformats.org/officeDocument/2006/relationships/hyperlink" Target="http://urban.uiowa.edu/" TargetMode="External"/><Relationship Id="rId755" Type="http://schemas.openxmlformats.org/officeDocument/2006/relationships/hyperlink" Target="https://openalex.org/A5056723329" TargetMode="External"/><Relationship Id="rId756" Type="http://schemas.openxmlformats.org/officeDocument/2006/relationships/hyperlink" Target="https://openalex.org/A5013277990" TargetMode="External"/><Relationship Id="rId757" Type="http://schemas.openxmlformats.org/officeDocument/2006/relationships/hyperlink" Target="https://openalex.org/A5062124394" TargetMode="External"/><Relationship Id="rId758" Type="http://schemas.openxmlformats.org/officeDocument/2006/relationships/hyperlink" Target="https://openalex.org/A5110590125" TargetMode="External"/><Relationship Id="rId759" Type="http://schemas.openxmlformats.org/officeDocument/2006/relationships/hyperlink" Target="https://openalex.org/A5014414662" TargetMode="External"/><Relationship Id="rId760" Type="http://schemas.openxmlformats.org/officeDocument/2006/relationships/hyperlink" Target="http://uwm.edu/sarup/program/planning/" TargetMode="External"/><Relationship Id="rId761" Type="http://schemas.openxmlformats.org/officeDocument/2006/relationships/hyperlink" Target="https://openalex.org/A5030217009" TargetMode="External"/><Relationship Id="rId762" Type="http://schemas.openxmlformats.org/officeDocument/2006/relationships/hyperlink" Target="https://openalex.org/A5125608287" TargetMode="External"/><Relationship Id="rId763" Type="http://schemas.openxmlformats.org/officeDocument/2006/relationships/hyperlink" Target="https://openalex.org/A5116549183" TargetMode="External"/><Relationship Id="rId764" Type="http://schemas.openxmlformats.org/officeDocument/2006/relationships/hyperlink" Target="https://openalex.org/A5022547303" TargetMode="External"/><Relationship Id="rId765" Type="http://schemas.openxmlformats.org/officeDocument/2006/relationships/hyperlink" Target="https://klesse.utsa.edu/architecture-planning/msurp.html" TargetMode="External"/><Relationship Id="rId766" Type="http://schemas.openxmlformats.org/officeDocument/2006/relationships/hyperlink" Target="https://openalex.org/A5133495512" TargetMode="External"/><Relationship Id="rId767" Type="http://schemas.openxmlformats.org/officeDocument/2006/relationships/hyperlink" Target="https://openalex.org/A5118627972" TargetMode="External"/><Relationship Id="rId768" Type="http://schemas.openxmlformats.org/officeDocument/2006/relationships/hyperlink" Target="https://openalex.org/A5147078962" TargetMode="External"/><Relationship Id="rId769" Type="http://schemas.openxmlformats.org/officeDocument/2006/relationships/hyperlink" Target="https://openalex.org/A5127716245" TargetMode="External"/><Relationship Id="rId770" Type="http://schemas.openxmlformats.org/officeDocument/2006/relationships/hyperlink" Target="http://planificacion.uprrp.edu/" TargetMode="External"/><Relationship Id="rId771" Type="http://schemas.openxmlformats.org/officeDocument/2006/relationships/hyperlink" Target="https://openalex.org/A5043684873" TargetMode="External"/><Relationship Id="rId772" Type="http://schemas.openxmlformats.org/officeDocument/2006/relationships/hyperlink" Target="https://openalex.org/A5078125909" TargetMode="External"/><Relationship Id="rId773" Type="http://schemas.openxmlformats.org/officeDocument/2006/relationships/hyperlink" Target="http://apdesign.k-state.edu/larcp/" TargetMode="External"/><Relationship Id="rId774" Type="http://schemas.openxmlformats.org/officeDocument/2006/relationships/hyperlink" Target="https://openalex.org/A5063015504" TargetMode="External"/><Relationship Id="rId775" Type="http://schemas.openxmlformats.org/officeDocument/2006/relationships/hyperlink" Target="http://sbs.mnsu.edu/ursi/" TargetMode="External"/><Relationship Id="rId776" Type="http://schemas.openxmlformats.org/officeDocument/2006/relationships/hyperlink" Target="https://openalex.org/A5056624115" TargetMode="External"/><Relationship Id="rId777" Type="http://schemas.openxmlformats.org/officeDocument/2006/relationships/hyperlink" Target="http://apdesign.k-state.edu/larcp/" TargetMode="External"/><Relationship Id="rId778" Type="http://schemas.openxmlformats.org/officeDocument/2006/relationships/hyperlink" Target="https://openalex.org/A5032894047" TargetMode="External"/><Relationship Id="rId779" Type="http://schemas.openxmlformats.org/officeDocument/2006/relationships/hyperlink" Target="https://openalex.org/A5086573909" TargetMode="External"/><Relationship Id="rId780" Type="http://schemas.openxmlformats.org/officeDocument/2006/relationships/hyperlink" Target="http://planning.calpoly.edu/" TargetMode="External"/><Relationship Id="rId781" Type="http://schemas.openxmlformats.org/officeDocument/2006/relationships/hyperlink" Target="https://openalex.org/A5048642685" TargetMode="External"/><Relationship Id="rId782" Type="http://schemas.openxmlformats.org/officeDocument/2006/relationships/hyperlink" Target="http://luskin.ucla.edu/urban-planning" TargetMode="External"/><Relationship Id="rId783" Type="http://schemas.openxmlformats.org/officeDocument/2006/relationships/hyperlink" Target="https://openalex.org/A5150305920" TargetMode="External"/><Relationship Id="rId784" Type="http://schemas.openxmlformats.org/officeDocument/2006/relationships/hyperlink" Target="http://coss.fsu.edu/durp/" TargetMode="External"/><Relationship Id="rId785" Type="http://schemas.openxmlformats.org/officeDocument/2006/relationships/hyperlink" Target="https://openalex.org/A5086510388" TargetMode="External"/><Relationship Id="rId786" Type="http://schemas.openxmlformats.org/officeDocument/2006/relationships/hyperlink" Target="http://arch.columbia.edu/programs/10-m-s-urban-planning" TargetMode="External"/><Relationship Id="rId787" Type="http://schemas.openxmlformats.org/officeDocument/2006/relationships/hyperlink" Target="https://openalex.org/A5052773583" TargetMode="External"/><Relationship Id="rId788" Type="http://schemas.openxmlformats.org/officeDocument/2006/relationships/hyperlink" Target="https://openalex.org/A5104509120" TargetMode="External"/><Relationship Id="rId789" Type="http://schemas.openxmlformats.org/officeDocument/2006/relationships/hyperlink" Target="https://openalex.org/A5104548131" TargetMode="External"/><Relationship Id="rId790" Type="http://schemas.openxmlformats.org/officeDocument/2006/relationships/hyperlink" Target="https://openalex.org/A5104509109" TargetMode="External"/><Relationship Id="rId791" Type="http://schemas.openxmlformats.org/officeDocument/2006/relationships/hyperlink" Target="https://openalex.org/A5104494652" TargetMode="External"/><Relationship Id="rId792" Type="http://schemas.openxmlformats.org/officeDocument/2006/relationships/hyperlink" Target="https://wilder.vcu.edu/programs/urban-and-regional-studies-planning/" TargetMode="External"/><Relationship Id="rId793" Type="http://schemas.openxmlformats.org/officeDocument/2006/relationships/hyperlink" Target="https://openalex.org/A5007678868" TargetMode="External"/><Relationship Id="rId794" Type="http://schemas.openxmlformats.org/officeDocument/2006/relationships/hyperlink" Target="https://openalex.org/A5088660355" TargetMode="External"/><Relationship Id="rId795" Type="http://schemas.openxmlformats.org/officeDocument/2006/relationships/hyperlink" Target="https://openalex.org/A5135199498" TargetMode="External"/><Relationship Id="rId796" Type="http://schemas.openxmlformats.org/officeDocument/2006/relationships/hyperlink" Target="https://openalex.org/A5065028456" TargetMode="External"/><Relationship Id="rId797" Type="http://schemas.openxmlformats.org/officeDocument/2006/relationships/hyperlink" Target="http://laup.arch.tamu.edu/" TargetMode="External"/><Relationship Id="rId798" Type="http://schemas.openxmlformats.org/officeDocument/2006/relationships/hyperlink" Target="https://openalex.org/A5100424906" TargetMode="External"/><Relationship Id="rId799" Type="http://schemas.openxmlformats.org/officeDocument/2006/relationships/hyperlink" Target="https://openalex.org/A5101930571" TargetMode="External"/><Relationship Id="rId800" Type="http://schemas.openxmlformats.org/officeDocument/2006/relationships/hyperlink" Target="https://openalex.org/A5010532561" TargetMode="External"/><Relationship Id="rId801" Type="http://schemas.openxmlformats.org/officeDocument/2006/relationships/hyperlink" Target="https://openalex.org/A5037430663" TargetMode="External"/><Relationship Id="rId802" Type="http://schemas.openxmlformats.org/officeDocument/2006/relationships/hyperlink" Target="https://openalex.org/A5115604106" TargetMode="External"/><Relationship Id="rId803" Type="http://schemas.openxmlformats.org/officeDocument/2006/relationships/hyperlink" Target="http://urbdp.be.washington.edu/" TargetMode="External"/><Relationship Id="rId804" Type="http://schemas.openxmlformats.org/officeDocument/2006/relationships/hyperlink" Target="https://openalex.org/A5026114294" TargetMode="External"/><Relationship Id="rId805" Type="http://schemas.openxmlformats.org/officeDocument/2006/relationships/hyperlink" Target="https://openalex.org/A5026249794" TargetMode="External"/><Relationship Id="rId806" Type="http://schemas.openxmlformats.org/officeDocument/2006/relationships/hyperlink" Target="https://openalex.org/A5133769023" TargetMode="External"/><Relationship Id="rId807" Type="http://schemas.openxmlformats.org/officeDocument/2006/relationships/hyperlink" Target="https://openalex.org/A5138344985" TargetMode="External"/><Relationship Id="rId808" Type="http://schemas.openxmlformats.org/officeDocument/2006/relationships/hyperlink" Target="http://planning.unc.edu/" TargetMode="External"/><Relationship Id="rId809" Type="http://schemas.openxmlformats.org/officeDocument/2006/relationships/hyperlink" Target="https://openalex.org/A5074464195" TargetMode="External"/><Relationship Id="rId810" Type="http://schemas.openxmlformats.org/officeDocument/2006/relationships/hyperlink" Target="https://openalex.org/A5074428072" TargetMode="External"/><Relationship Id="rId811" Type="http://schemas.openxmlformats.org/officeDocument/2006/relationships/hyperlink" Target="https://openalex.org/A5055748015" TargetMode="External"/><Relationship Id="rId812" Type="http://schemas.openxmlformats.org/officeDocument/2006/relationships/hyperlink" Target="https://openalex.org/A5047156712" TargetMode="External"/><Relationship Id="rId813" Type="http://schemas.openxmlformats.org/officeDocument/2006/relationships/hyperlink" Target="https://openalex.org/A5126730044" TargetMode="External"/><Relationship Id="rId814" Type="http://schemas.openxmlformats.org/officeDocument/2006/relationships/hyperlink" Target="http://planificacion.uprrp.edu/" TargetMode="External"/><Relationship Id="rId815" Type="http://schemas.openxmlformats.org/officeDocument/2006/relationships/hyperlink" Target="https://openalex.org/A5093681082" TargetMode="External"/><Relationship Id="rId816" Type="http://schemas.openxmlformats.org/officeDocument/2006/relationships/hyperlink" Target="https://www.bsu.edu/academics/collegesanddepartments/urban-planning" TargetMode="External"/><Relationship Id="rId817" Type="http://schemas.openxmlformats.org/officeDocument/2006/relationships/hyperlink" Target="https://openalex.org/A5081413082" TargetMode="External"/><Relationship Id="rId818" Type="http://schemas.openxmlformats.org/officeDocument/2006/relationships/hyperlink" Target="https://openalex.org/A5141417783" TargetMode="External"/><Relationship Id="rId819" Type="http://schemas.openxmlformats.org/officeDocument/2006/relationships/hyperlink" Target="https://openalex.org/A5051805471" TargetMode="External"/><Relationship Id="rId820" Type="http://schemas.openxmlformats.org/officeDocument/2006/relationships/hyperlink" Target="https://architecture.ou.edu/regional-city-planning/" TargetMode="External"/><Relationship Id="rId821" Type="http://schemas.openxmlformats.org/officeDocument/2006/relationships/hyperlink" Target="https://openalex.org/A5034073709" TargetMode="External"/><Relationship Id="rId822" Type="http://schemas.openxmlformats.org/officeDocument/2006/relationships/hyperlink" Target="http://gsd.harvard.edu/" TargetMode="External"/><Relationship Id="rId823" Type="http://schemas.openxmlformats.org/officeDocument/2006/relationships/hyperlink" Target="https://openalex.org/A5103011380" TargetMode="External"/><Relationship Id="rId824" Type="http://schemas.openxmlformats.org/officeDocument/2006/relationships/hyperlink" Target="https://openalex.org/A5052083424" TargetMode="External"/><Relationship Id="rId825" Type="http://schemas.openxmlformats.org/officeDocument/2006/relationships/hyperlink" Target="https://openalex.org/A5103590590" TargetMode="External"/><Relationship Id="rId826" Type="http://schemas.openxmlformats.org/officeDocument/2006/relationships/hyperlink" Target="https://openalex.org/A5108383616" TargetMode="External"/><Relationship Id="rId827" Type="http://schemas.openxmlformats.org/officeDocument/2006/relationships/hyperlink" Target="https://openalex.org/A5143008902" TargetMode="External"/><Relationship Id="rId828" Type="http://schemas.openxmlformats.org/officeDocument/2006/relationships/hyperlink" Target="https://www.torontomu.ca/school-of-urban-and-regional-planning/" TargetMode="External"/><Relationship Id="rId829" Type="http://schemas.openxmlformats.org/officeDocument/2006/relationships/hyperlink" Target="https://openalex.org/A5037361738" TargetMode="External"/><Relationship Id="rId830" Type="http://schemas.openxmlformats.org/officeDocument/2006/relationships/hyperlink" Target="https://openalex.org/A5102950171" TargetMode="External"/><Relationship Id="rId831" Type="http://schemas.openxmlformats.org/officeDocument/2006/relationships/hyperlink" Target="https://openalex.org/A5081544715" TargetMode="External"/><Relationship Id="rId832" Type="http://schemas.openxmlformats.org/officeDocument/2006/relationships/hyperlink" Target="https://openalex.org/A5068258585" TargetMode="External"/><Relationship Id="rId833" Type="http://schemas.openxmlformats.org/officeDocument/2006/relationships/hyperlink" Target="https://openalex.org/A5055856196" TargetMode="External"/><Relationship Id="rId834" Type="http://schemas.openxmlformats.org/officeDocument/2006/relationships/hyperlink" Target="http://www.jsums.edu/planning/" TargetMode="External"/><Relationship Id="rId835" Type="http://schemas.openxmlformats.org/officeDocument/2006/relationships/hyperlink" Target="https://openalex.org/A5009153424" TargetMode="External"/><Relationship Id="rId836" Type="http://schemas.openxmlformats.org/officeDocument/2006/relationships/hyperlink" Target="https://usp.ucsd.edu/" TargetMode="External"/><Relationship Id="rId837" Type="http://schemas.openxmlformats.org/officeDocument/2006/relationships/hyperlink" Target="https://openalex.org/A5013096816" TargetMode="External"/><Relationship Id="rId838" Type="http://schemas.openxmlformats.org/officeDocument/2006/relationships/hyperlink" Target="https://dpla.wisc.edu/" TargetMode="External"/><Relationship Id="rId839" Type="http://schemas.openxmlformats.org/officeDocument/2006/relationships/hyperlink" Target="https://openalex.org/A5034610960" TargetMode="External"/><Relationship Id="rId840" Type="http://schemas.openxmlformats.org/officeDocument/2006/relationships/hyperlink" Target="http://www.aamu.edu/academics/alns/crp/pages/default.aspx" TargetMode="External"/><Relationship Id="rId841" Type="http://schemas.openxmlformats.org/officeDocument/2006/relationships/hyperlink" Target="https://openalex.org/A5023127763" TargetMode="External"/><Relationship Id="rId842" Type="http://schemas.openxmlformats.org/officeDocument/2006/relationships/hyperlink" Target="https://openalex.org/A5100652077" TargetMode="External"/><Relationship Id="rId843" Type="http://schemas.openxmlformats.org/officeDocument/2006/relationships/hyperlink" Target="https://openalex.org/A5141046027" TargetMode="External"/><Relationship Id="rId844" Type="http://schemas.openxmlformats.org/officeDocument/2006/relationships/hyperlink" Target="https://architecture.tulane.edu/academics/sustainable-urbanism" TargetMode="External"/><Relationship Id="rId845" Type="http://schemas.openxmlformats.org/officeDocument/2006/relationships/hyperlink" Target="https://openalex.org/A5020105451" TargetMode="External"/><Relationship Id="rId846" Type="http://schemas.openxmlformats.org/officeDocument/2006/relationships/hyperlink" Target="https://openalex.org/A5108176884" TargetMode="External"/><Relationship Id="rId847" Type="http://schemas.openxmlformats.org/officeDocument/2006/relationships/hyperlink" Target="http://planning.eas.ualberta.ca/" TargetMode="External"/><Relationship Id="rId848" Type="http://schemas.openxmlformats.org/officeDocument/2006/relationships/hyperlink" Target="https://openalex.org/A5116549640" TargetMode="External"/><Relationship Id="rId849" Type="http://schemas.openxmlformats.org/officeDocument/2006/relationships/hyperlink" Target="https://openalex.org/A5075257972" TargetMode="External"/><Relationship Id="rId850" Type="http://schemas.openxmlformats.org/officeDocument/2006/relationships/hyperlink" Target="https://openalex.org/A5118136701" TargetMode="External"/><Relationship Id="rId851" Type="http://schemas.openxmlformats.org/officeDocument/2006/relationships/hyperlink" Target="https://www.sfu.ca/rem.html" TargetMode="External"/><Relationship Id="rId852" Type="http://schemas.openxmlformats.org/officeDocument/2006/relationships/hyperlink" Target="https://openalex.org/A5040940303" TargetMode="External"/><Relationship Id="rId853" Type="http://schemas.openxmlformats.org/officeDocument/2006/relationships/hyperlink" Target="https://openalex.org/A5041286599" TargetMode="External"/><Relationship Id="rId854" Type="http://schemas.openxmlformats.org/officeDocument/2006/relationships/hyperlink" Target="https://openalex.org/A5092114619" TargetMode="External"/><Relationship Id="rId855" Type="http://schemas.openxmlformats.org/officeDocument/2006/relationships/hyperlink" Target="https://clas.wayne.edu/usp" TargetMode="External"/><Relationship Id="rId856" Type="http://schemas.openxmlformats.org/officeDocument/2006/relationships/hyperlink" Target="https://openalex.org/A5147317534" TargetMode="External"/><Relationship Id="rId857" Type="http://schemas.openxmlformats.org/officeDocument/2006/relationships/hyperlink" Target="https://openalex.org/A5041906155" TargetMode="External"/><Relationship Id="rId858" Type="http://schemas.openxmlformats.org/officeDocument/2006/relationships/hyperlink" Target="https://openalex.org/A5009277364" TargetMode="External"/><Relationship Id="rId859" Type="http://schemas.openxmlformats.org/officeDocument/2006/relationships/hyperlink" Target="http://planning.unc.edu/" TargetMode="External"/><Relationship Id="rId860" Type="http://schemas.openxmlformats.org/officeDocument/2006/relationships/hyperlink" Target="https://openalex.org/A5122400263" TargetMode="External"/><Relationship Id="rId861" Type="http://schemas.openxmlformats.org/officeDocument/2006/relationships/hyperlink" Target="https://openalex.org/A5123019724" TargetMode="External"/><Relationship Id="rId862" Type="http://schemas.openxmlformats.org/officeDocument/2006/relationships/hyperlink" Target="http://scarp.ubc.ca/" TargetMode="External"/><Relationship Id="rId863" Type="http://schemas.openxmlformats.org/officeDocument/2006/relationships/hyperlink" Target="https://openalex.org/A5123644279" TargetMode="External"/><Relationship Id="rId864" Type="http://schemas.openxmlformats.org/officeDocument/2006/relationships/hyperlink" Target="https://scs.georgetown.edu/programs/356/master-of-professional-studies-urban-and-regional-planning/" TargetMode="External"/><Relationship Id="rId865" Type="http://schemas.openxmlformats.org/officeDocument/2006/relationships/hyperlink" Target="https://openalex.org/A5116664731" TargetMode="External"/><Relationship Id="rId866" Type="http://schemas.openxmlformats.org/officeDocument/2006/relationships/hyperlink" Target="https://openalex.org/A5010928932" TargetMode="External"/><Relationship Id="rId867" Type="http://schemas.openxmlformats.org/officeDocument/2006/relationships/hyperlink" Target="https://openalex.org/A5108907570" TargetMode="External"/><Relationship Id="rId868" Type="http://schemas.openxmlformats.org/officeDocument/2006/relationships/hyperlink" Target="https://openalex.org/A5034471396" TargetMode="External"/><Relationship Id="rId869" Type="http://schemas.openxmlformats.org/officeDocument/2006/relationships/hyperlink" Target="http://planificacion.uprrp.edu/" TargetMode="External"/><Relationship Id="rId870" Type="http://schemas.openxmlformats.org/officeDocument/2006/relationships/hyperlink" Target="https://openalex.org/A5114529651" TargetMode="External"/><Relationship Id="rId871" Type="http://schemas.openxmlformats.org/officeDocument/2006/relationships/hyperlink" Target="http://morgan.edu/sap/crep" TargetMode="External"/><Relationship Id="rId872" Type="http://schemas.openxmlformats.org/officeDocument/2006/relationships/hyperlink" Target="https://openalex.org/A5095764010" TargetMode="External"/><Relationship Id="rId873" Type="http://schemas.openxmlformats.org/officeDocument/2006/relationships/hyperlink" Target="https://openalex.org/A5112092499" TargetMode="External"/><Relationship Id="rId874" Type="http://schemas.openxmlformats.org/officeDocument/2006/relationships/hyperlink" Target="https://openalex.org/A5002770667" TargetMode="External"/><Relationship Id="rId875" Type="http://schemas.openxmlformats.org/officeDocument/2006/relationships/hyperlink" Target="https://openalex.org/A5006464235" TargetMode="External"/><Relationship Id="rId876" Type="http://schemas.openxmlformats.org/officeDocument/2006/relationships/hyperlink" Target="https://openalex.org/A5011103505" TargetMode="External"/><Relationship Id="rId877" Type="http://schemas.openxmlformats.org/officeDocument/2006/relationships/hyperlink" Target="http://hhh.umn.edu/masters-degrees/master-urban-and-regional-planning" TargetMode="External"/><Relationship Id="rId878" Type="http://schemas.openxmlformats.org/officeDocument/2006/relationships/hyperlink" Target="https://openalex.org/A5136837689" TargetMode="External"/><Relationship Id="rId879" Type="http://schemas.openxmlformats.org/officeDocument/2006/relationships/hyperlink" Target="https://openalex.org/A5134598480" TargetMode="External"/><Relationship Id="rId880" Type="http://schemas.openxmlformats.org/officeDocument/2006/relationships/hyperlink" Target="https://openalex.org/A5133521592" TargetMode="External"/><Relationship Id="rId881" Type="http://schemas.openxmlformats.org/officeDocument/2006/relationships/hyperlink" Target="https://openalex.org/A5002645774" TargetMode="External"/><Relationship Id="rId882" Type="http://schemas.openxmlformats.org/officeDocument/2006/relationships/hyperlink" Target="https://openalex.org/A5126492805" TargetMode="External"/><Relationship Id="rId883" Type="http://schemas.openxmlformats.org/officeDocument/2006/relationships/hyperlink" Target="http://knowlton.osu.edu/programs/city-and-regional-planning" TargetMode="External"/><Relationship Id="rId884" Type="http://schemas.openxmlformats.org/officeDocument/2006/relationships/hyperlink" Target="https://openalex.org/A5045014928" TargetMode="External"/><Relationship Id="rId885" Type="http://schemas.openxmlformats.org/officeDocument/2006/relationships/hyperlink" Target="https://openalex.org/A5057518859" TargetMode="External"/><Relationship Id="rId886" Type="http://schemas.openxmlformats.org/officeDocument/2006/relationships/hyperlink" Target="https://openalex.org/A5035040492" TargetMode="External"/><Relationship Id="rId887" Type="http://schemas.openxmlformats.org/officeDocument/2006/relationships/hyperlink" Target="https://openalex.org/A5055050817" TargetMode="External"/><Relationship Id="rId888" Type="http://schemas.openxmlformats.org/officeDocument/2006/relationships/hyperlink" Target="https://openalex.org/A5085662024" TargetMode="External"/><Relationship Id="rId889" Type="http://schemas.openxmlformats.org/officeDocument/2006/relationships/hyperlink" Target="https://www.queensu.ca/geographyandplanning/surp/" TargetMode="External"/><Relationship Id="rId890" Type="http://schemas.openxmlformats.org/officeDocument/2006/relationships/hyperlink" Target="https://openalex.org/A5007069086" TargetMode="External"/><Relationship Id="rId891" Type="http://schemas.openxmlformats.org/officeDocument/2006/relationships/hyperlink" Target="https://openalex.org/A5006360782" TargetMode="External"/><Relationship Id="rId892" Type="http://schemas.openxmlformats.org/officeDocument/2006/relationships/hyperlink" Target="https://openalex.org/A5096374853" TargetMode="External"/><Relationship Id="rId893" Type="http://schemas.openxmlformats.org/officeDocument/2006/relationships/hyperlink" Target="https://openalex.org/A5104349930" TargetMode="External"/><Relationship Id="rId894" Type="http://schemas.openxmlformats.org/officeDocument/2006/relationships/hyperlink" Target="https://openalex.org/A5081361850" TargetMode="External"/><Relationship Id="rId895" Type="http://schemas.openxmlformats.org/officeDocument/2006/relationships/hyperlink" Target="https://www.queensu.ca/geographyandplanning/surp/" TargetMode="External"/><Relationship Id="rId896" Type="http://schemas.openxmlformats.org/officeDocument/2006/relationships/hyperlink" Target="https://openalex.org/A5142450282" TargetMode="External"/><Relationship Id="rId897" Type="http://schemas.openxmlformats.org/officeDocument/2006/relationships/hyperlink" Target="https://openalex.org/A5028941114" TargetMode="External"/><Relationship Id="rId898" Type="http://schemas.openxmlformats.org/officeDocument/2006/relationships/hyperlink" Target="https://openalex.org/A5076714771" TargetMode="External"/><Relationship Id="rId899" Type="http://schemas.openxmlformats.org/officeDocument/2006/relationships/hyperlink" Target="http://sjsu.edu/urbanplanning/" TargetMode="External"/><Relationship Id="rId900" Type="http://schemas.openxmlformats.org/officeDocument/2006/relationships/hyperlink" Target="https://openalex.org/A5058862982" TargetMode="External"/><Relationship Id="rId901" Type="http://schemas.openxmlformats.org/officeDocument/2006/relationships/hyperlink" Target="https://openalex.org/A5075441541" TargetMode="External"/><Relationship Id="rId902" Type="http://schemas.openxmlformats.org/officeDocument/2006/relationships/hyperlink" Target="https://openalex.org/A5027324129" TargetMode="External"/><Relationship Id="rId903" Type="http://schemas.openxmlformats.org/officeDocument/2006/relationships/hyperlink" Target="https://openalex.org/A5105501055" TargetMode="External"/><Relationship Id="rId904" Type="http://schemas.openxmlformats.org/officeDocument/2006/relationships/hyperlink" Target="https://openalex.org/A5110668492" TargetMode="External"/><Relationship Id="rId905" Type="http://schemas.openxmlformats.org/officeDocument/2006/relationships/hyperlink" Target="http://planning.eas.ualberta.ca/" TargetMode="External"/><Relationship Id="rId906" Type="http://schemas.openxmlformats.org/officeDocument/2006/relationships/hyperlink" Target="https://openalex.org/A5009620463" TargetMode="External"/><Relationship Id="rId907" Type="http://schemas.openxmlformats.org/officeDocument/2006/relationships/hyperlink" Target="https://openalex.org/A5048062036" TargetMode="External"/><Relationship Id="rId908" Type="http://schemas.openxmlformats.org/officeDocument/2006/relationships/hyperlink" Target="https://openalex.org/A5078254014" TargetMode="External"/><Relationship Id="rId909" Type="http://schemas.openxmlformats.org/officeDocument/2006/relationships/hyperlink" Target="https://openalex.org/A5039395116" TargetMode="External"/><Relationship Id="rId910" Type="http://schemas.openxmlformats.org/officeDocument/2006/relationships/hyperlink" Target="https://openalex.org/A5110236821" TargetMode="External"/><Relationship Id="rId911" Type="http://schemas.openxmlformats.org/officeDocument/2006/relationships/hyperlink" Target="https://usp.ucsd.edu/" TargetMode="External"/><Relationship Id="rId912" Type="http://schemas.openxmlformats.org/officeDocument/2006/relationships/hyperlink" Target="https://openalex.org/A5018974631" TargetMode="External"/><Relationship Id="rId913" Type="http://schemas.openxmlformats.org/officeDocument/2006/relationships/hyperlink" Target="https://openalex.org/A5101562910" TargetMode="External"/><Relationship Id="rId914" Type="http://schemas.openxmlformats.org/officeDocument/2006/relationships/hyperlink" Target="https://openalex.org/A5039969369" TargetMode="External"/><Relationship Id="rId915" Type="http://schemas.openxmlformats.org/officeDocument/2006/relationships/hyperlink" Target="https://openalex.org/A5040065162" TargetMode="External"/><Relationship Id="rId916" Type="http://schemas.openxmlformats.org/officeDocument/2006/relationships/hyperlink" Target="https://openalex.org/A5088254403" TargetMode="External"/><Relationship Id="rId917" Type="http://schemas.openxmlformats.org/officeDocument/2006/relationships/hyperlink" Target="http://pdx.edu/usp/master-urban-and-regional-planning-murp" TargetMode="External"/><Relationship Id="rId918" Type="http://schemas.openxmlformats.org/officeDocument/2006/relationships/hyperlink" Target="https://openalex.org/A5017215412" TargetMode="External"/><Relationship Id="rId919" Type="http://schemas.openxmlformats.org/officeDocument/2006/relationships/hyperlink" Target="https://openalex.org/A5008243000" TargetMode="External"/><Relationship Id="rId920" Type="http://schemas.openxmlformats.org/officeDocument/2006/relationships/hyperlink" Target="https://openalex.org/A5021440756" TargetMode="External"/><Relationship Id="rId921" Type="http://schemas.openxmlformats.org/officeDocument/2006/relationships/hyperlink" Target="https://openalex.org/A5130922883" TargetMode="External"/><Relationship Id="rId922" Type="http://schemas.openxmlformats.org/officeDocument/2006/relationships/hyperlink" Target="https://openalex.org/A5090056662" TargetMode="External"/><Relationship Id="rId923" Type="http://schemas.openxmlformats.org/officeDocument/2006/relationships/hyperlink" Target="http://iup.edu/georegionalplan/" TargetMode="External"/><Relationship Id="rId924" Type="http://schemas.openxmlformats.org/officeDocument/2006/relationships/hyperlink" Target="https://openalex.org/A5072400168" TargetMode="External"/><Relationship Id="rId925" Type="http://schemas.openxmlformats.org/officeDocument/2006/relationships/hyperlink" Target="https://openalex.org/A5062838577" TargetMode="External"/><Relationship Id="rId926" Type="http://schemas.openxmlformats.org/officeDocument/2006/relationships/hyperlink" Target="https://openalex.org/A5068128792" TargetMode="External"/><Relationship Id="rId927" Type="http://schemas.openxmlformats.org/officeDocument/2006/relationships/hyperlink" Target="https://openalex.org/A5081012880" TargetMode="External"/><Relationship Id="rId928" Type="http://schemas.openxmlformats.org/officeDocument/2006/relationships/hyperlink" Target="https://openalex.org/A5128594077" TargetMode="External"/><Relationship Id="rId929" Type="http://schemas.openxmlformats.org/officeDocument/2006/relationships/hyperlink" Target="https://architecture.ou.edu/regional-city-planning/" TargetMode="External"/><Relationship Id="rId930" Type="http://schemas.openxmlformats.org/officeDocument/2006/relationships/hyperlink" Target="https://openalex.org/A5102363622" TargetMode="External"/><Relationship Id="rId931" Type="http://schemas.openxmlformats.org/officeDocument/2006/relationships/hyperlink" Target="https://openalex.org/A5104832375" TargetMode="External"/><Relationship Id="rId932" Type="http://schemas.openxmlformats.org/officeDocument/2006/relationships/hyperlink" Target="https://openalex.org/A5081110953" TargetMode="External"/><Relationship Id="rId933" Type="http://schemas.openxmlformats.org/officeDocument/2006/relationships/hyperlink" Target="https://openalex.org/A5103531635" TargetMode="External"/><Relationship Id="rId934" Type="http://schemas.openxmlformats.org/officeDocument/2006/relationships/hyperlink" Target="https://openalex.org/A5081355772" TargetMode="External"/><Relationship Id="rId935" Type="http://schemas.openxmlformats.org/officeDocument/2006/relationships/hyperlink" Target="http://nau.edu/SBS/GPR/Degrees-Programs/Geography/" TargetMode="External"/><Relationship Id="rId936" Type="http://schemas.openxmlformats.org/officeDocument/2006/relationships/hyperlink" Target="https://openalex.org/A5091474292" TargetMode="External"/><Relationship Id="rId937" Type="http://schemas.openxmlformats.org/officeDocument/2006/relationships/hyperlink" Target="https://earth.rowan.edu/departments/geography/" TargetMode="External"/><Relationship Id="rId938" Type="http://schemas.openxmlformats.org/officeDocument/2006/relationships/hyperlink" Target="https://openalex.org/A5067169952" TargetMode="External"/><Relationship Id="rId939" Type="http://schemas.openxmlformats.org/officeDocument/2006/relationships/hyperlink" Target="https://openalex.org/A5100746953" TargetMode="External"/><Relationship Id="rId940" Type="http://schemas.openxmlformats.org/officeDocument/2006/relationships/hyperlink" Target="https://openalex.org/A5110796344" TargetMode="External"/><Relationship Id="rId941" Type="http://schemas.openxmlformats.org/officeDocument/2006/relationships/hyperlink" Target="https://openalex.org/A5100720515" TargetMode="External"/><Relationship Id="rId942" Type="http://schemas.openxmlformats.org/officeDocument/2006/relationships/hyperlink" Target="https://openalex.org/A5062051871" TargetMode="External"/><Relationship Id="rId943" Type="http://schemas.openxmlformats.org/officeDocument/2006/relationships/hyperlink" Target="http://planning.unc.edu/" TargetMode="External"/><Relationship Id="rId944" Type="http://schemas.openxmlformats.org/officeDocument/2006/relationships/hyperlink" Target="https://openalex.org/A5029871720" TargetMode="External"/><Relationship Id="rId945" Type="http://schemas.openxmlformats.org/officeDocument/2006/relationships/hyperlink" Target="https://openalex.org/A5112624240" TargetMode="External"/><Relationship Id="rId946" Type="http://schemas.openxmlformats.org/officeDocument/2006/relationships/hyperlink" Target="https://openalex.org/A5112493744" TargetMode="External"/><Relationship Id="rId947" Type="http://schemas.openxmlformats.org/officeDocument/2006/relationships/hyperlink" Target="https://openalex.org/A5085207082" TargetMode="External"/><Relationship Id="rId948" Type="http://schemas.openxmlformats.org/officeDocument/2006/relationships/hyperlink" Target="https://openalex.org/A5060782022" TargetMode="External"/><Relationship Id="rId949" Type="http://schemas.openxmlformats.org/officeDocument/2006/relationships/hyperlink" Target="http://urban.uiowa.edu/" TargetMode="External"/><Relationship Id="rId950" Type="http://schemas.openxmlformats.org/officeDocument/2006/relationships/hyperlink" Target="https://openalex.org/A5119773766" TargetMode="External"/><Relationship Id="rId951" Type="http://schemas.openxmlformats.org/officeDocument/2006/relationships/hyperlink" Target="https://openalex.org/A5041149181" TargetMode="External"/><Relationship Id="rId952" Type="http://schemas.openxmlformats.org/officeDocument/2006/relationships/hyperlink" Target="https://openalex.org/A5002627002" TargetMode="External"/><Relationship Id="rId953" Type="http://schemas.openxmlformats.org/officeDocument/2006/relationships/hyperlink" Target="https://openalex.org/A5060063744" TargetMode="External"/><Relationship Id="rId954" Type="http://schemas.openxmlformats.org/officeDocument/2006/relationships/hyperlink" Target="http://planificacion.uprrp.edu/" TargetMode="External"/><Relationship Id="rId955" Type="http://schemas.openxmlformats.org/officeDocument/2006/relationships/hyperlink" Target="https://openalex.org/A5003708205" TargetMode="External"/><Relationship Id="rId956" Type="http://schemas.openxmlformats.org/officeDocument/2006/relationships/hyperlink" Target="https://openalex.org/A5135913273" TargetMode="External"/><Relationship Id="rId957" Type="http://schemas.openxmlformats.org/officeDocument/2006/relationships/hyperlink" Target="https://openalex.org/A5054612687" TargetMode="External"/><Relationship Id="rId958" Type="http://schemas.openxmlformats.org/officeDocument/2006/relationships/hyperlink" Target="https://openalex.org/A5123657105" TargetMode="External"/><Relationship Id="rId959" Type="http://schemas.openxmlformats.org/officeDocument/2006/relationships/hyperlink" Target="https://openalex.org/A5106060440" TargetMode="External"/><Relationship Id="rId960" Type="http://schemas.openxmlformats.org/officeDocument/2006/relationships/hyperlink" Target="https://architecture.tulane.edu/academics/sustainable-urbanism" TargetMode="External"/><Relationship Id="rId961" Type="http://schemas.openxmlformats.org/officeDocument/2006/relationships/hyperlink" Target="https://openalex.org/A5122399082" TargetMode="External"/><Relationship Id="rId962" Type="http://schemas.openxmlformats.org/officeDocument/2006/relationships/hyperlink" Target="https://openalex.org/A5021456838" TargetMode="External"/><Relationship Id="rId963" Type="http://schemas.openxmlformats.org/officeDocument/2006/relationships/hyperlink" Target="https://openalex.org/A5117103770" TargetMode="External"/><Relationship Id="rId964" Type="http://schemas.openxmlformats.org/officeDocument/2006/relationships/hyperlink" Target="https://huxley.wwu.edu/urban-planning-and-sustainable-development-program" TargetMode="External"/><Relationship Id="rId965" Type="http://schemas.openxmlformats.org/officeDocument/2006/relationships/hyperlink" Target="https://openalex.org/A5098101053" TargetMode="External"/><Relationship Id="rId966" Type="http://schemas.openxmlformats.org/officeDocument/2006/relationships/hyperlink" Target="https://openalex.org/A5003878536" TargetMode="External"/><Relationship Id="rId967" Type="http://schemas.openxmlformats.org/officeDocument/2006/relationships/hyperlink" Target="https://openalex.org/A5097371904" TargetMode="External"/><Relationship Id="rId968" Type="http://schemas.openxmlformats.org/officeDocument/2006/relationships/hyperlink" Target="https://openalex.org/A5033653963" TargetMode="External"/><Relationship Id="rId969" Type="http://schemas.openxmlformats.org/officeDocument/2006/relationships/hyperlink" Target="https://openalex.org/A5055792513" TargetMode="External"/><Relationship Id="rId970" Type="http://schemas.openxmlformats.org/officeDocument/2006/relationships/hyperlink" Target="http://env.cpp.edu/urp/urp" TargetMode="External"/><Relationship Id="rId971" Type="http://schemas.openxmlformats.org/officeDocument/2006/relationships/hyperlink" Target="https://openalex.org/A5100607740" TargetMode="External"/><Relationship Id="rId972" Type="http://schemas.openxmlformats.org/officeDocument/2006/relationships/hyperlink" Target="https://openalex.org/A5100607741" TargetMode="External"/><Relationship Id="rId973" Type="http://schemas.openxmlformats.org/officeDocument/2006/relationships/hyperlink" Target="https://openalex.org/A5100607750" TargetMode="External"/><Relationship Id="rId974" Type="http://schemas.openxmlformats.org/officeDocument/2006/relationships/hyperlink" Target="https://openalex.org/A5100607752" TargetMode="External"/><Relationship Id="rId975" Type="http://schemas.openxmlformats.org/officeDocument/2006/relationships/hyperlink" Target="https://openalex.org/A5100607742" TargetMode="External"/><Relationship Id="rId976" Type="http://schemas.openxmlformats.org/officeDocument/2006/relationships/hyperlink" Target="http://ppd.soceco.uci.edu/" TargetMode="External"/><Relationship Id="rId977" Type="http://schemas.openxmlformats.org/officeDocument/2006/relationships/hyperlink" Target="https://openalex.org/A5100752486" TargetMode="External"/><Relationship Id="rId978" Type="http://schemas.openxmlformats.org/officeDocument/2006/relationships/hyperlink" Target="https://openalex.org/A5110645519" TargetMode="External"/><Relationship Id="rId979" Type="http://schemas.openxmlformats.org/officeDocument/2006/relationships/hyperlink" Target="https://openalex.org/A5052025293" TargetMode="External"/><Relationship Id="rId980" Type="http://schemas.openxmlformats.org/officeDocument/2006/relationships/hyperlink" Target="https://openalex.org/A5101527104" TargetMode="External"/><Relationship Id="rId981" Type="http://schemas.openxmlformats.org/officeDocument/2006/relationships/hyperlink" Target="https://openalex.org/A5100752484" TargetMode="External"/><Relationship Id="rId982" Type="http://schemas.openxmlformats.org/officeDocument/2006/relationships/hyperlink" Target="http://geoplan.asu.edu/" TargetMode="External"/><Relationship Id="rId983" Type="http://schemas.openxmlformats.org/officeDocument/2006/relationships/hyperlink" Target="https://openalex.org/A5026257733" TargetMode="External"/><Relationship Id="rId984" Type="http://schemas.openxmlformats.org/officeDocument/2006/relationships/hyperlink" Target="https://openalex.org/A5040097416" TargetMode="External"/><Relationship Id="rId985" Type="http://schemas.openxmlformats.org/officeDocument/2006/relationships/hyperlink" Target="https://openalex.org/A5052427448" TargetMode="External"/><Relationship Id="rId986" Type="http://schemas.openxmlformats.org/officeDocument/2006/relationships/hyperlink" Target="https://openalex.org/A5044369021" TargetMode="External"/><Relationship Id="rId987" Type="http://schemas.openxmlformats.org/officeDocument/2006/relationships/hyperlink" Target="https://openalex.org/A5074596019" TargetMode="External"/><Relationship Id="rId988" Type="http://schemas.openxmlformats.org/officeDocument/2006/relationships/hyperlink" Target="http://dcp.ufl.edu/urp/" TargetMode="External"/><Relationship Id="rId989" Type="http://schemas.openxmlformats.org/officeDocument/2006/relationships/hyperlink" Target="https://openalex.org/A5092771240" TargetMode="External"/><Relationship Id="rId990" Type="http://schemas.openxmlformats.org/officeDocument/2006/relationships/hyperlink" Target="http://utoledo.edu/llss/geography/" TargetMode="External"/><Relationship Id="rId991" Type="http://schemas.openxmlformats.org/officeDocument/2006/relationships/hyperlink" Target="https://openalex.org/A5043568452" TargetMode="External"/><Relationship Id="rId992" Type="http://schemas.openxmlformats.org/officeDocument/2006/relationships/hyperlink" Target="https://openalex.org/A5085557350" TargetMode="External"/><Relationship Id="rId993" Type="http://schemas.openxmlformats.org/officeDocument/2006/relationships/hyperlink" Target="https://openalex.org/A5069923369" TargetMode="External"/><Relationship Id="rId994" Type="http://schemas.openxmlformats.org/officeDocument/2006/relationships/hyperlink" Target="https://openalex.org/A5103952379" TargetMode="External"/><Relationship Id="rId995" Type="http://schemas.openxmlformats.org/officeDocument/2006/relationships/hyperlink" Target="https://openalex.org/A5054585473" TargetMode="External"/><Relationship Id="rId996" Type="http://schemas.openxmlformats.org/officeDocument/2006/relationships/hyperlink" Target="http://laup.arch.tamu.edu/" TargetMode="External"/><Relationship Id="rId997" Type="http://schemas.openxmlformats.org/officeDocument/2006/relationships/hyperlink" Target="https://openalex.org/A5128912634" TargetMode="External"/><Relationship Id="rId998" Type="http://schemas.openxmlformats.org/officeDocument/2006/relationships/hyperlink" Target="https://openalex.org/A5106700972" TargetMode="External"/><Relationship Id="rId999" Type="http://schemas.openxmlformats.org/officeDocument/2006/relationships/hyperlink" Target="https://openalex.org/A5100708046" TargetMode="External"/><Relationship Id="rId1000" Type="http://schemas.openxmlformats.org/officeDocument/2006/relationships/hyperlink" Target="https://openalex.org/A5022835351" TargetMode="External"/><Relationship Id="rId1001" Type="http://schemas.openxmlformats.org/officeDocument/2006/relationships/hyperlink" Target="https://openalex.org/A5041328042" TargetMode="External"/><Relationship Id="rId1002" Type="http://schemas.openxmlformats.org/officeDocument/2006/relationships/hyperlink" Target="http://albany.edu/gp/" TargetMode="External"/><Relationship Id="rId1003" Type="http://schemas.openxmlformats.org/officeDocument/2006/relationships/hyperlink" Target="https://openalex.org/A5020081385" TargetMode="External"/><Relationship Id="rId1004" Type="http://schemas.openxmlformats.org/officeDocument/2006/relationships/hyperlink" Target="https://openalex.org/A5101719896" TargetMode="External"/><Relationship Id="rId1005" Type="http://schemas.openxmlformats.org/officeDocument/2006/relationships/hyperlink" Target="https://openalex.org/A5009434691" TargetMode="External"/><Relationship Id="rId1006" Type="http://schemas.openxmlformats.org/officeDocument/2006/relationships/hyperlink" Target="https://openalex.org/A5101417889" TargetMode="External"/><Relationship Id="rId1007" Type="http://schemas.openxmlformats.org/officeDocument/2006/relationships/hyperlink" Target="https://openalex.org/A5016971671" TargetMode="External"/><Relationship Id="rId1008" Type="http://schemas.openxmlformats.org/officeDocument/2006/relationships/hyperlink" Target="http://pppm.uoregon.edu/" TargetMode="External"/><Relationship Id="rId1009" Type="http://schemas.openxmlformats.org/officeDocument/2006/relationships/hyperlink" Target="https://openalex.org/A5002461889" TargetMode="External"/><Relationship Id="rId1010" Type="http://schemas.openxmlformats.org/officeDocument/2006/relationships/hyperlink" Target="https://openalex.org/A5060575832" TargetMode="External"/><Relationship Id="rId1011" Type="http://schemas.openxmlformats.org/officeDocument/2006/relationships/hyperlink" Target="https://openalex.org/A5112514797" TargetMode="External"/><Relationship Id="rId1012" Type="http://schemas.openxmlformats.org/officeDocument/2006/relationships/hyperlink" Target="https://openalex.org/A5079126831" TargetMode="External"/><Relationship Id="rId1013" Type="http://schemas.openxmlformats.org/officeDocument/2006/relationships/hyperlink" Target="https://openalex.org/A5023693688" TargetMode="External"/><Relationship Id="rId1014" Type="http://schemas.openxmlformats.org/officeDocument/2006/relationships/hyperlink" Target="http://uwaterloo.ca/planning/" TargetMode="External"/><Relationship Id="rId1015" Type="http://schemas.openxmlformats.org/officeDocument/2006/relationships/hyperlink" Target="https://openalex.org/A5103437114" TargetMode="External"/><Relationship Id="rId1016" Type="http://schemas.openxmlformats.org/officeDocument/2006/relationships/hyperlink" Target="https://openalex.org/A5057936203" TargetMode="External"/><Relationship Id="rId1017" Type="http://schemas.openxmlformats.org/officeDocument/2006/relationships/hyperlink" Target="https://openalex.org/A5086968933" TargetMode="External"/><Relationship Id="rId1018" Type="http://schemas.openxmlformats.org/officeDocument/2006/relationships/hyperlink" Target="https://openalex.org/A5029550387" TargetMode="External"/><Relationship Id="rId1019" Type="http://schemas.openxmlformats.org/officeDocument/2006/relationships/hyperlink" Target="https://openalex.org/A5049295104" TargetMode="External"/><Relationship Id="rId1020" Type="http://schemas.openxmlformats.org/officeDocument/2006/relationships/hyperlink" Target="http://env.cpp.edu/urp/urp" TargetMode="External"/><Relationship Id="rId1021" Type="http://schemas.openxmlformats.org/officeDocument/2006/relationships/hyperlink" Target="https://openalex.org/A5147204232" TargetMode="External"/><Relationship Id="rId1022" Type="http://schemas.openxmlformats.org/officeDocument/2006/relationships/hyperlink" Target="https://openalex.org/A5045286041" TargetMode="External"/><Relationship Id="rId1023" Type="http://schemas.openxmlformats.org/officeDocument/2006/relationships/hyperlink" Target="https://openalex.org/A5136182860" TargetMode="External"/><Relationship Id="rId1024" Type="http://schemas.openxmlformats.org/officeDocument/2006/relationships/hyperlink" Target="https://openalex.org/A5067585461" TargetMode="External"/><Relationship Id="rId1025" Type="http://schemas.openxmlformats.org/officeDocument/2006/relationships/hyperlink" Target="https://openalex.org/A5147695929" TargetMode="External"/><Relationship Id="rId1026" Type="http://schemas.openxmlformats.org/officeDocument/2006/relationships/hyperlink" Target="http://albany.edu/gp/" TargetMode="External"/><Relationship Id="rId1027" Type="http://schemas.openxmlformats.org/officeDocument/2006/relationships/hyperlink" Target="https://openalex.org/A5100448482" TargetMode="External"/><Relationship Id="rId1028" Type="http://schemas.openxmlformats.org/officeDocument/2006/relationships/hyperlink" Target="https://openalex.org/A5100448563" TargetMode="External"/><Relationship Id="rId1029" Type="http://schemas.openxmlformats.org/officeDocument/2006/relationships/hyperlink" Target="https://openalex.org/A5100448602" TargetMode="External"/><Relationship Id="rId1030" Type="http://schemas.openxmlformats.org/officeDocument/2006/relationships/hyperlink" Target="https://openalex.org/A5100758991" TargetMode="External"/><Relationship Id="rId1031" Type="http://schemas.openxmlformats.org/officeDocument/2006/relationships/hyperlink" Target="https://openalex.org/A5100758993" TargetMode="External"/><Relationship Id="rId1032" Type="http://schemas.openxmlformats.org/officeDocument/2006/relationships/hyperlink" Target="http://laup.arch.tamu.edu/" TargetMode="External"/><Relationship Id="rId1033" Type="http://schemas.openxmlformats.org/officeDocument/2006/relationships/hyperlink" Target="https://openalex.org/A5100318166" TargetMode="External"/><Relationship Id="rId1034" Type="http://schemas.openxmlformats.org/officeDocument/2006/relationships/hyperlink" Target="https://openalex.org/A5109869303" TargetMode="External"/><Relationship Id="rId1035" Type="http://schemas.openxmlformats.org/officeDocument/2006/relationships/hyperlink" Target="https://openalex.org/A5100318024" TargetMode="External"/><Relationship Id="rId1036" Type="http://schemas.openxmlformats.org/officeDocument/2006/relationships/hyperlink" Target="https://openalex.org/A5100318019" TargetMode="External"/><Relationship Id="rId1037" Type="http://schemas.openxmlformats.org/officeDocument/2006/relationships/hyperlink" Target="https://openalex.org/A5100318158" TargetMode="External"/><Relationship Id="rId1038" Type="http://schemas.openxmlformats.org/officeDocument/2006/relationships/hyperlink" Target="http://pdx.edu/usp/master-urban-and-regional-planning-murp" TargetMode="External"/><Relationship Id="rId1039" Type="http://schemas.openxmlformats.org/officeDocument/2006/relationships/hyperlink" Target="https://openalex.org/A5072604421" TargetMode="External"/><Relationship Id="rId1040" Type="http://schemas.openxmlformats.org/officeDocument/2006/relationships/hyperlink" Target="https://openalex.org/A5101921215" TargetMode="External"/><Relationship Id="rId1041" Type="http://schemas.openxmlformats.org/officeDocument/2006/relationships/hyperlink" Target="https://openalex.org/A5134487915" TargetMode="External"/><Relationship Id="rId1042" Type="http://schemas.openxmlformats.org/officeDocument/2006/relationships/hyperlink" Target="https://openalex.org/A5121532501" TargetMode="External"/><Relationship Id="rId1043" Type="http://schemas.openxmlformats.org/officeDocument/2006/relationships/hyperlink" Target="https://openalex.org/A5079437104" TargetMode="External"/><Relationship Id="rId1044" Type="http://schemas.openxmlformats.org/officeDocument/2006/relationships/hyperlink" Target="http://ppd.soceco.uci.edu/" TargetMode="External"/><Relationship Id="rId1045" Type="http://schemas.openxmlformats.org/officeDocument/2006/relationships/hyperlink" Target="https://openalex.org/A5110819827" TargetMode="External"/><Relationship Id="rId1046" Type="http://schemas.openxmlformats.org/officeDocument/2006/relationships/hyperlink" Target="https://openalex.org/A5024675811" TargetMode="External"/><Relationship Id="rId1047" Type="http://schemas.openxmlformats.org/officeDocument/2006/relationships/hyperlink" Target="https://openalex.org/A5015679157" TargetMode="External"/><Relationship Id="rId1048" Type="http://schemas.openxmlformats.org/officeDocument/2006/relationships/hyperlink" Target="https://openalex.org/A5100467800" TargetMode="External"/><Relationship Id="rId1049" Type="http://schemas.openxmlformats.org/officeDocument/2006/relationships/hyperlink" Target="https://openalex.org/A5140903333" TargetMode="External"/><Relationship Id="rId1050" Type="http://schemas.openxmlformats.org/officeDocument/2006/relationships/hyperlink" Target="http://www.jsums.edu/planning/" TargetMode="External"/><Relationship Id="rId1051" Type="http://schemas.openxmlformats.org/officeDocument/2006/relationships/hyperlink" Target="https://openalex.org/A5134418069" TargetMode="External"/><Relationship Id="rId1052" Type="http://schemas.openxmlformats.org/officeDocument/2006/relationships/hyperlink" Target="https://openalex.org/A5126153449" TargetMode="External"/><Relationship Id="rId1053" Type="http://schemas.openxmlformats.org/officeDocument/2006/relationships/hyperlink" Target="http://arch.virginia.edu/urban-environmental-planning" TargetMode="External"/><Relationship Id="rId1054" Type="http://schemas.openxmlformats.org/officeDocument/2006/relationships/hyperlink" Target="https://openalex.org/A5071929486" TargetMode="External"/><Relationship Id="rId1055" Type="http://schemas.openxmlformats.org/officeDocument/2006/relationships/hyperlink" Target="http://arch.umd.edu/ursp/urban-studies-and-planning" TargetMode="External"/><Relationship Id="rId1056" Type="http://schemas.openxmlformats.org/officeDocument/2006/relationships/hyperlink" Target="https://openalex.org/A5034431014" TargetMode="External"/><Relationship Id="rId1057" Type="http://schemas.openxmlformats.org/officeDocument/2006/relationships/hyperlink" Target="https://openalex.org/A5079693592" TargetMode="External"/><Relationship Id="rId1058" Type="http://schemas.openxmlformats.org/officeDocument/2006/relationships/hyperlink" Target="https://openalex.org/A5046057771" TargetMode="External"/><Relationship Id="rId1059" Type="http://schemas.openxmlformats.org/officeDocument/2006/relationships/hyperlink" Target="https://openalex.org/A5130863216" TargetMode="External"/><Relationship Id="rId1060" Type="http://schemas.openxmlformats.org/officeDocument/2006/relationships/hyperlink" Target="https://openalex.org/A5074605256" TargetMode="External"/><Relationship Id="rId1061" Type="http://schemas.openxmlformats.org/officeDocument/2006/relationships/hyperlink" Target="https://clas.wayne.edu/usp" TargetMode="External"/><Relationship Id="rId1062" Type="http://schemas.openxmlformats.org/officeDocument/2006/relationships/hyperlink" Target="https://openalex.org/A5030207290" TargetMode="External"/><Relationship Id="rId1063" Type="http://schemas.openxmlformats.org/officeDocument/2006/relationships/hyperlink" Target="http://www.aamu.edu/academics/alns/crp/pages/default.aspx" TargetMode="External"/><Relationship Id="rId1064" Type="http://schemas.openxmlformats.org/officeDocument/2006/relationships/hyperlink" Target="https://openalex.org/A5081607544" TargetMode="External"/><Relationship Id="rId1065" Type="http://schemas.openxmlformats.org/officeDocument/2006/relationships/hyperlink" Target="https://openalex.org/A5067257452" TargetMode="External"/><Relationship Id="rId1066" Type="http://schemas.openxmlformats.org/officeDocument/2006/relationships/hyperlink" Target="https://openalex.org/A5048837775" TargetMode="External"/><Relationship Id="rId1067" Type="http://schemas.openxmlformats.org/officeDocument/2006/relationships/hyperlink" Target="https://www.esad.ulaval.ca/en" TargetMode="External"/><Relationship Id="rId1068" Type="http://schemas.openxmlformats.org/officeDocument/2006/relationships/hyperlink" Target="https://openalex.org/A5102844859" TargetMode="External"/><Relationship Id="rId1069" Type="http://schemas.openxmlformats.org/officeDocument/2006/relationships/hyperlink" Target="https://openalex.org/A5015907260" TargetMode="External"/><Relationship Id="rId1070" Type="http://schemas.openxmlformats.org/officeDocument/2006/relationships/hyperlink" Target="https://openalex.org/A5099372847" TargetMode="External"/><Relationship Id="rId1071" Type="http://schemas.openxmlformats.org/officeDocument/2006/relationships/hyperlink" Target="https://openalex.org/A5099375825" TargetMode="External"/><Relationship Id="rId1072" Type="http://schemas.openxmlformats.org/officeDocument/2006/relationships/hyperlink" Target="https://openalex.org/A5099367183" TargetMode="External"/><Relationship Id="rId1073" Type="http://schemas.openxmlformats.org/officeDocument/2006/relationships/hyperlink" Target="http://ced.berkeley.edu/academics/city-regional-planning/" TargetMode="External"/><Relationship Id="rId1074" Type="http://schemas.openxmlformats.org/officeDocument/2006/relationships/hyperlink" Target="https://openalex.org/A5074468125" TargetMode="External"/><Relationship Id="rId1075" Type="http://schemas.openxmlformats.org/officeDocument/2006/relationships/hyperlink" Target="https://openalex.org/A5034907247" TargetMode="External"/><Relationship Id="rId1076" Type="http://schemas.openxmlformats.org/officeDocument/2006/relationships/hyperlink" Target="https://openalex.org/A5101925707" TargetMode="External"/><Relationship Id="rId1077" Type="http://schemas.openxmlformats.org/officeDocument/2006/relationships/hyperlink" Target="https://openalex.org/A5054241961" TargetMode="External"/><Relationship Id="rId1078" Type="http://schemas.openxmlformats.org/officeDocument/2006/relationships/hyperlink" Target="https://openalex.org/A5033472437" TargetMode="External"/><Relationship Id="rId1079" Type="http://schemas.openxmlformats.org/officeDocument/2006/relationships/hyperlink" Target="http://arch.columbia.edu/programs/10-m-s-urban-planning" TargetMode="External"/><Relationship Id="rId1080" Type="http://schemas.openxmlformats.org/officeDocument/2006/relationships/hyperlink" Target="https://openalex.org/A5075348602" TargetMode="External"/><Relationship Id="rId1081" Type="http://schemas.openxmlformats.org/officeDocument/2006/relationships/hyperlink" Target="https://openalex.org/A5085609128" TargetMode="External"/><Relationship Id="rId1082" Type="http://schemas.openxmlformats.org/officeDocument/2006/relationships/hyperlink" Target="https://openalex.org/A5033898282" TargetMode="External"/><Relationship Id="rId1083" Type="http://schemas.openxmlformats.org/officeDocument/2006/relationships/hyperlink" Target="https://openalex.org/A5124480705" TargetMode="External"/><Relationship Id="rId1084" Type="http://schemas.openxmlformats.org/officeDocument/2006/relationships/hyperlink" Target="https://openalex.org/A5148139918" TargetMode="External"/><Relationship Id="rId1085" Type="http://schemas.openxmlformats.org/officeDocument/2006/relationships/hyperlink" Target="http://pratt.edu/academics/architecture/city-and-regional-planning/" TargetMode="External"/><Relationship Id="rId1086" Type="http://schemas.openxmlformats.org/officeDocument/2006/relationships/hyperlink" Target="https://openalex.org/A5025086879" TargetMode="External"/><Relationship Id="rId1087" Type="http://schemas.openxmlformats.org/officeDocument/2006/relationships/hyperlink" Target="https://openalex.org/A5072912146" TargetMode="External"/><Relationship Id="rId1088" Type="http://schemas.openxmlformats.org/officeDocument/2006/relationships/hyperlink" Target="https://openalex.org/A5045440387" TargetMode="External"/><Relationship Id="rId1089" Type="http://schemas.openxmlformats.org/officeDocument/2006/relationships/hyperlink" Target="https://openalex.org/A5021651218" TargetMode="External"/><Relationship Id="rId1090" Type="http://schemas.openxmlformats.org/officeDocument/2006/relationships/hyperlink" Target="https://openalex.org/A5025114039" TargetMode="External"/><Relationship Id="rId1091" Type="http://schemas.openxmlformats.org/officeDocument/2006/relationships/hyperlink" Target="http://ced.uga.edu/degrees/mepd/" TargetMode="External"/><Relationship Id="rId1092" Type="http://schemas.openxmlformats.org/officeDocument/2006/relationships/hyperlink" Target="https://openalex.org/A5033392915" TargetMode="External"/><Relationship Id="rId1093" Type="http://schemas.openxmlformats.org/officeDocument/2006/relationships/hyperlink" Target="https://openalex.org/A5101541374" TargetMode="External"/><Relationship Id="rId1094" Type="http://schemas.openxmlformats.org/officeDocument/2006/relationships/hyperlink" Target="https://openalex.org/A5104097433" TargetMode="External"/><Relationship Id="rId1095" Type="http://schemas.openxmlformats.org/officeDocument/2006/relationships/hyperlink" Target="https://openalex.org/A5103502855" TargetMode="External"/><Relationship Id="rId1096" Type="http://schemas.openxmlformats.org/officeDocument/2006/relationships/hyperlink" Target="https://openalex.org/A5056219478" TargetMode="External"/><Relationship Id="rId1097" Type="http://schemas.openxmlformats.org/officeDocument/2006/relationships/hyperlink" Target="https://cssh.northeastern.edu/policyschool/program/ms-in-urban-planning-and-policy/" TargetMode="External"/><Relationship Id="rId1098" Type="http://schemas.openxmlformats.org/officeDocument/2006/relationships/hyperlink" Target="https://openalex.org/A5119371379" TargetMode="External"/><Relationship Id="rId1099" Type="http://schemas.openxmlformats.org/officeDocument/2006/relationships/hyperlink" Target="https://openalex.org/A5068297670" TargetMode="External"/><Relationship Id="rId1100" Type="http://schemas.openxmlformats.org/officeDocument/2006/relationships/hyperlink" Target="https://openalex.org/A5130385571" TargetMode="External"/><Relationship Id="rId1101" Type="http://schemas.openxmlformats.org/officeDocument/2006/relationships/hyperlink" Target="https://openalex.org/A5107927394" TargetMode="External"/><Relationship Id="rId1102" Type="http://schemas.openxmlformats.org/officeDocument/2006/relationships/hyperlink" Target="https://openalex.org/A5064059059" TargetMode="External"/><Relationship Id="rId1103" Type="http://schemas.openxmlformats.org/officeDocument/2006/relationships/hyperlink" Target="http://ced.uga.edu/degrees/mepd/" TargetMode="External"/><Relationship Id="rId1104" Type="http://schemas.openxmlformats.org/officeDocument/2006/relationships/hyperlink" Target="https://openalex.org/A5028369118" TargetMode="External"/><Relationship Id="rId1105" Type="http://schemas.openxmlformats.org/officeDocument/2006/relationships/hyperlink" Target="https://openalex.org/A5071127114" TargetMode="External"/><Relationship Id="rId1106" Type="http://schemas.openxmlformats.org/officeDocument/2006/relationships/hyperlink" Target="http://planning.eas.ualberta.ca/" TargetMode="External"/><Relationship Id="rId1107" Type="http://schemas.openxmlformats.org/officeDocument/2006/relationships/hyperlink" Target="https://openalex.org/A5017496956" TargetMode="External"/><Relationship Id="rId1108" Type="http://schemas.openxmlformats.org/officeDocument/2006/relationships/hyperlink" Target="https://openalex.org/A5029960592" TargetMode="External"/><Relationship Id="rId1109" Type="http://schemas.openxmlformats.org/officeDocument/2006/relationships/hyperlink" Target="https://openalex.org/A5104070568" TargetMode="External"/><Relationship Id="rId1110" Type="http://schemas.openxmlformats.org/officeDocument/2006/relationships/hyperlink" Target="https://openalex.org/A5044378029" TargetMode="External"/><Relationship Id="rId1111" Type="http://schemas.openxmlformats.org/officeDocument/2006/relationships/hyperlink" Target="https://openalex.org/A5057925236" TargetMode="External"/><Relationship Id="rId1112" Type="http://schemas.openxmlformats.org/officeDocument/2006/relationships/hyperlink" Target="http://architecture.unl.edu/degree-programs/community-and-regional-planning" TargetMode="External"/><Relationship Id="rId1113" Type="http://schemas.openxmlformats.org/officeDocument/2006/relationships/hyperlink" Target="https://openalex.org/A5103783263" TargetMode="External"/><Relationship Id="rId1114" Type="http://schemas.openxmlformats.org/officeDocument/2006/relationships/hyperlink" Target="https://openalex.org/A5134209259" TargetMode="External"/><Relationship Id="rId1115" Type="http://schemas.openxmlformats.org/officeDocument/2006/relationships/hyperlink" Target="https://openalex.org/A5137642299" TargetMode="External"/><Relationship Id="rId1116" Type="http://schemas.openxmlformats.org/officeDocument/2006/relationships/hyperlink" Target="https://openalex.org/A5002591515" TargetMode="External"/><Relationship Id="rId1117" Type="http://schemas.openxmlformats.org/officeDocument/2006/relationships/hyperlink" Target="https://openalex.org/A5134872800" TargetMode="External"/><Relationship Id="rId1118" Type="http://schemas.openxmlformats.org/officeDocument/2006/relationships/hyperlink" Target="http://urst.sosc.laps.yorku.ca/" TargetMode="External"/><Relationship Id="rId1119" Type="http://schemas.openxmlformats.org/officeDocument/2006/relationships/hyperlink" Target="https://openalex.org/A5070891342" TargetMode="External"/><Relationship Id="rId1120" Type="http://schemas.openxmlformats.org/officeDocument/2006/relationships/hyperlink" Target="https://openalex.org/A5076731802" TargetMode="External"/><Relationship Id="rId1121" Type="http://schemas.openxmlformats.org/officeDocument/2006/relationships/hyperlink" Target="https://openalex.org/A5073445803" TargetMode="External"/><Relationship Id="rId1122" Type="http://schemas.openxmlformats.org/officeDocument/2006/relationships/hyperlink" Target="https://openalex.org/A5109423856" TargetMode="External"/><Relationship Id="rId1123" Type="http://schemas.openxmlformats.org/officeDocument/2006/relationships/hyperlink" Target="https://openalex.org/A5060226181" TargetMode="External"/><Relationship Id="rId1124" Type="http://schemas.openxmlformats.org/officeDocument/2006/relationships/hyperlink" Target="http://www.jsums.edu/planning/" TargetMode="External"/><Relationship Id="rId1125" Type="http://schemas.openxmlformats.org/officeDocument/2006/relationships/hyperlink" Target="https://openalex.org/A5136973473" TargetMode="External"/><Relationship Id="rId1126" Type="http://schemas.openxmlformats.org/officeDocument/2006/relationships/hyperlink" Target="http://luskin.ucla.edu/urban-planning" TargetMode="External"/><Relationship Id="rId1127" Type="http://schemas.openxmlformats.org/officeDocument/2006/relationships/hyperlink" Target="https://openalex.org/A5114641487" TargetMode="External"/><Relationship Id="rId1128" Type="http://schemas.openxmlformats.org/officeDocument/2006/relationships/hyperlink" Target="https://openalex.org/A5029592404" TargetMode="External"/><Relationship Id="rId1129" Type="http://schemas.openxmlformats.org/officeDocument/2006/relationships/hyperlink" Target="https://openalex.org/A5093767479" TargetMode="External"/><Relationship Id="rId1130" Type="http://schemas.openxmlformats.org/officeDocument/2006/relationships/hyperlink" Target="https://openalex.org/A5020952587" TargetMode="External"/><Relationship Id="rId1131" Type="http://schemas.openxmlformats.org/officeDocument/2006/relationships/hyperlink" Target="http://dcp.ufl.edu/urp/" TargetMode="External"/><Relationship Id="rId1132" Type="http://schemas.openxmlformats.org/officeDocument/2006/relationships/hyperlink" Target="https://openalex.org/A5100322555" TargetMode="External"/><Relationship Id="rId1133" Type="http://schemas.openxmlformats.org/officeDocument/2006/relationships/hyperlink" Target="https://openalex.org/A5100322630" TargetMode="External"/><Relationship Id="rId1134" Type="http://schemas.openxmlformats.org/officeDocument/2006/relationships/hyperlink" Target="https://openalex.org/A5100322900" TargetMode="External"/><Relationship Id="rId1135" Type="http://schemas.openxmlformats.org/officeDocument/2006/relationships/hyperlink" Target="https://openalex.org/A5100322712" TargetMode="External"/><Relationship Id="rId1136" Type="http://schemas.openxmlformats.org/officeDocument/2006/relationships/hyperlink" Target="https://openalex.org/A5100322888" TargetMode="External"/><Relationship Id="rId1137" Type="http://schemas.openxmlformats.org/officeDocument/2006/relationships/hyperlink" Target="http://apdesign.k-state.edu/larcp/" TargetMode="External"/><Relationship Id="rId1138" Type="http://schemas.openxmlformats.org/officeDocument/2006/relationships/hyperlink" Target="https://openalex.org/A5058785006" TargetMode="External"/><Relationship Id="rId1139" Type="http://schemas.openxmlformats.org/officeDocument/2006/relationships/hyperlink" Target="https://openalex.org/A5096020839" TargetMode="External"/><Relationship Id="rId1140" Type="http://schemas.openxmlformats.org/officeDocument/2006/relationships/hyperlink" Target="https://openalex.org/A5097548354" TargetMode="External"/><Relationship Id="rId1141" Type="http://schemas.openxmlformats.org/officeDocument/2006/relationships/hyperlink" Target="https://openalex.org/A5046157674" TargetMode="External"/><Relationship Id="rId1142" Type="http://schemas.openxmlformats.org/officeDocument/2006/relationships/hyperlink" Target="http://soa.utexas.edu/programs/community-and-regional-planning" TargetMode="External"/><Relationship Id="rId1143" Type="http://schemas.openxmlformats.org/officeDocument/2006/relationships/hyperlink" Target="https://openalex.org/A5053902230" TargetMode="External"/><Relationship Id="rId1144" Type="http://schemas.openxmlformats.org/officeDocument/2006/relationships/hyperlink" Target="https://openalex.org/A5100642537" TargetMode="External"/><Relationship Id="rId1145" Type="http://schemas.openxmlformats.org/officeDocument/2006/relationships/hyperlink" Target="https://openalex.org/A5100620621" TargetMode="External"/><Relationship Id="rId1146" Type="http://schemas.openxmlformats.org/officeDocument/2006/relationships/hyperlink" Target="https://openalex.org/A5100447273" TargetMode="External"/><Relationship Id="rId1147" Type="http://schemas.openxmlformats.org/officeDocument/2006/relationships/hyperlink" Target="https://openalex.org/A5100447253" TargetMode="External"/><Relationship Id="rId1148" Type="http://schemas.openxmlformats.org/officeDocument/2006/relationships/hyperlink" Target="http://uap.vt.edu/" TargetMode="External"/><Relationship Id="rId1149" Type="http://schemas.openxmlformats.org/officeDocument/2006/relationships/hyperlink" Target="https://openalex.org/A5100354734" TargetMode="External"/><Relationship Id="rId1150" Type="http://schemas.openxmlformats.org/officeDocument/2006/relationships/hyperlink" Target="https://openalex.org/A5100354683" TargetMode="External"/><Relationship Id="rId1151" Type="http://schemas.openxmlformats.org/officeDocument/2006/relationships/hyperlink" Target="https://openalex.org/A5100354659" TargetMode="External"/><Relationship Id="rId1152" Type="http://schemas.openxmlformats.org/officeDocument/2006/relationships/hyperlink" Target="https://openalex.org/A5100354630" TargetMode="External"/><Relationship Id="rId1153" Type="http://schemas.openxmlformats.org/officeDocument/2006/relationships/hyperlink" Target="https://openalex.org/A5100354569" TargetMode="External"/><Relationship Id="rId1154" Type="http://schemas.openxmlformats.org/officeDocument/2006/relationships/hyperlink" Target="http://sebs.rutgers.edu/" TargetMode="External"/><Relationship Id="rId1155" Type="http://schemas.openxmlformats.org/officeDocument/2006/relationships/hyperlink" Target="https://openalex.org/A5067304714" TargetMode="External"/><Relationship Id="rId1156" Type="http://schemas.openxmlformats.org/officeDocument/2006/relationships/hyperlink" Target="https://openalex.org/A5096138337" TargetMode="External"/><Relationship Id="rId1157" Type="http://schemas.openxmlformats.org/officeDocument/2006/relationships/hyperlink" Target="http://scarp.ubc.ca/" TargetMode="External"/><Relationship Id="rId1158" Type="http://schemas.openxmlformats.org/officeDocument/2006/relationships/hyperlink" Target="https://openalex.org/A5074989743" TargetMode="External"/><Relationship Id="rId1159" Type="http://schemas.openxmlformats.org/officeDocument/2006/relationships/hyperlink" Target="http://iup.edu/georegionalplan/" TargetMode="External"/><Relationship Id="rId1160" Type="http://schemas.openxmlformats.org/officeDocument/2006/relationships/hyperlink" Target="https://openalex.org/A5080473731" TargetMode="External"/><Relationship Id="rId1161" Type="http://schemas.openxmlformats.org/officeDocument/2006/relationships/hyperlink" Target="https://openalex.org/A5010156025" TargetMode="External"/><Relationship Id="rId1162" Type="http://schemas.openxmlformats.org/officeDocument/2006/relationships/hyperlink" Target="https://dpla.wisc.edu/" TargetMode="External"/><Relationship Id="rId1163" Type="http://schemas.openxmlformats.org/officeDocument/2006/relationships/hyperlink" Target="https://openalex.org/A5015918077" TargetMode="External"/><Relationship Id="rId1164" Type="http://schemas.openxmlformats.org/officeDocument/2006/relationships/hyperlink" Target="https://openalex.org/A5107474617" TargetMode="External"/><Relationship Id="rId1165" Type="http://schemas.openxmlformats.org/officeDocument/2006/relationships/hyperlink" Target="http://hhh.umn.edu/masters-degrees/master-urban-and-regional-planning" TargetMode="External"/><Relationship Id="rId1166" Type="http://schemas.openxmlformats.org/officeDocument/2006/relationships/hyperlink" Target="https://openalex.org/A5044182346" TargetMode="External"/><Relationship Id="rId1167" Type="http://schemas.openxmlformats.org/officeDocument/2006/relationships/hyperlink" Target="https://openalex.org/A5001000970" TargetMode="External"/><Relationship Id="rId1168" Type="http://schemas.openxmlformats.org/officeDocument/2006/relationships/hyperlink" Target="https://openalex.org/A5117356261" TargetMode="External"/><Relationship Id="rId1169" Type="http://schemas.openxmlformats.org/officeDocument/2006/relationships/hyperlink" Target="https://openalex.org/A5066963472" TargetMode="External"/><Relationship Id="rId1170" Type="http://schemas.openxmlformats.org/officeDocument/2006/relationships/hyperlink" Target="https://openalex.org/A5004593431" TargetMode="External"/><Relationship Id="rId1171" Type="http://schemas.openxmlformats.org/officeDocument/2006/relationships/hyperlink" Target="http://westfield.ma.edu/academics/geography-and-regional-planning-department" TargetMode="External"/><Relationship Id="rId1172" Type="http://schemas.openxmlformats.org/officeDocument/2006/relationships/hyperlink" Target="https://openalex.org/A5044911662" TargetMode="External"/><Relationship Id="rId1173" Type="http://schemas.openxmlformats.org/officeDocument/2006/relationships/hyperlink" Target="https://openalex.org/A5049840320" TargetMode="External"/><Relationship Id="rId1174" Type="http://schemas.openxmlformats.org/officeDocument/2006/relationships/hyperlink" Target="https://openalex.org/A5091912481" TargetMode="External"/><Relationship Id="rId1175" Type="http://schemas.openxmlformats.org/officeDocument/2006/relationships/hyperlink" Target="https://www.wcupa.edu/business-publicManagement/geographyPlanning/" TargetMode="External"/><Relationship Id="rId1176" Type="http://schemas.openxmlformats.org/officeDocument/2006/relationships/hyperlink" Target="https://openalex.org/A5034365795" TargetMode="External"/><Relationship Id="rId1177" Type="http://schemas.openxmlformats.org/officeDocument/2006/relationships/hyperlink" Target="https://openalex.org/A5000882687" TargetMode="External"/><Relationship Id="rId1178" Type="http://schemas.openxmlformats.org/officeDocument/2006/relationships/hyperlink" Target="https://openalex.org/A5062731189" TargetMode="External"/><Relationship Id="rId1179" Type="http://schemas.openxmlformats.org/officeDocument/2006/relationships/hyperlink" Target="http://ap.buffalo.edu/academics/graduate-degrees/mup.html" TargetMode="External"/><Relationship Id="rId1180" Type="http://schemas.openxmlformats.org/officeDocument/2006/relationships/hyperlink" Target="https://openalex.org/A5036525328" TargetMode="External"/><Relationship Id="rId1181" Type="http://schemas.openxmlformats.org/officeDocument/2006/relationships/hyperlink" Target="https://openalex.org/A5114456928" TargetMode="External"/><Relationship Id="rId1182" Type="http://schemas.openxmlformats.org/officeDocument/2006/relationships/hyperlink" Target="https://openalex.org/A5115430315" TargetMode="External"/><Relationship Id="rId1183" Type="http://schemas.openxmlformats.org/officeDocument/2006/relationships/hyperlink" Target="https://spa.sdsu.edu/index.php/academic_programs/city_planning/cp-overview" TargetMode="External"/><Relationship Id="rId1184" Type="http://schemas.openxmlformats.org/officeDocument/2006/relationships/hyperlink" Target="https://openalex.org/A5092949360" TargetMode="External"/><Relationship Id="rId1185" Type="http://schemas.openxmlformats.org/officeDocument/2006/relationships/hyperlink" Target="https://openalex.org/A5115732615" TargetMode="External"/><Relationship Id="rId1186" Type="http://schemas.openxmlformats.org/officeDocument/2006/relationships/hyperlink" Target="https://etudier.uqam.ca/programme/maitrise-etudes-urbaines" TargetMode="External"/><Relationship Id="rId1187" Type="http://schemas.openxmlformats.org/officeDocument/2006/relationships/hyperlink" Target="https://openalex.org/A5030554974" TargetMode="External"/><Relationship Id="rId1188" Type="http://schemas.openxmlformats.org/officeDocument/2006/relationships/hyperlink" Target="https://openalex.org/A5044744062" TargetMode="External"/><Relationship Id="rId1189" Type="http://schemas.openxmlformats.org/officeDocument/2006/relationships/hyperlink" Target="https://openalex.org/A5093751708" TargetMode="External"/><Relationship Id="rId1190" Type="http://schemas.openxmlformats.org/officeDocument/2006/relationships/hyperlink" Target="https://openalex.org/A5133191090" TargetMode="External"/><Relationship Id="rId1191" Type="http://schemas.openxmlformats.org/officeDocument/2006/relationships/hyperlink" Target="http://uwm.edu/sarup/program/planning/" TargetMode="External"/><Relationship Id="rId1192" Type="http://schemas.openxmlformats.org/officeDocument/2006/relationships/hyperlink" Target="https://openalex.org/A5087544477" TargetMode="External"/><Relationship Id="rId1193" Type="http://schemas.openxmlformats.org/officeDocument/2006/relationships/hyperlink" Target="https://openalex.org/A5027666083" TargetMode="External"/><Relationship Id="rId1194" Type="http://schemas.openxmlformats.org/officeDocument/2006/relationships/hyperlink" Target="https://openalex.org/A5022678205" TargetMode="External"/><Relationship Id="rId1195" Type="http://schemas.openxmlformats.org/officeDocument/2006/relationships/hyperlink" Target="https://openalex.org/A5147223830" TargetMode="External"/><Relationship Id="rId1196" Type="http://schemas.openxmlformats.org/officeDocument/2006/relationships/hyperlink" Target="https://openalex.org/A5018151237" TargetMode="External"/><Relationship Id="rId1197" Type="http://schemas.openxmlformats.org/officeDocument/2006/relationships/hyperlink" Target="http://iup.edu/georegionalplan/" TargetMode="External"/><Relationship Id="rId1198" Type="http://schemas.openxmlformats.org/officeDocument/2006/relationships/hyperlink" Target="https://openalex.org/A5027486496" TargetMode="External"/><Relationship Id="rId1199" Type="http://schemas.openxmlformats.org/officeDocument/2006/relationships/hyperlink" Target="https://openalex.org/A5144669046" TargetMode="External"/><Relationship Id="rId1200" Type="http://schemas.openxmlformats.org/officeDocument/2006/relationships/hyperlink" Target="https://openalex.org/A5019694491" TargetMode="External"/><Relationship Id="rId1201" Type="http://schemas.openxmlformats.org/officeDocument/2006/relationships/hyperlink" Target="https://openalex.org/A5027794797" TargetMode="External"/><Relationship Id="rId1202" Type="http://schemas.openxmlformats.org/officeDocument/2006/relationships/hyperlink" Target="https://www.emich.edu/geography-geology/programs/urban-regional-planning/index.php" TargetMode="External"/><Relationship Id="rId1203" Type="http://schemas.openxmlformats.org/officeDocument/2006/relationships/hyperlink" Target="https://openalex.org/A5074843401" TargetMode="External"/><Relationship Id="rId1204" Type="http://schemas.openxmlformats.org/officeDocument/2006/relationships/hyperlink" Target="https://openalex.org/A5085573979" TargetMode="External"/><Relationship Id="rId1205" Type="http://schemas.openxmlformats.org/officeDocument/2006/relationships/hyperlink" Target="https://cssh.northeastern.edu/policyschool/program/ms-in-urban-planning-and-policy/" TargetMode="External"/><Relationship Id="rId1206" Type="http://schemas.openxmlformats.org/officeDocument/2006/relationships/hyperlink" Target="https://openalex.org/A5092903872" TargetMode="External"/><Relationship Id="rId1207" Type="http://schemas.openxmlformats.org/officeDocument/2006/relationships/hyperlink" Target="https://openalex.org/A5099147677" TargetMode="External"/><Relationship Id="rId1208" Type="http://schemas.openxmlformats.org/officeDocument/2006/relationships/hyperlink" Target="https://cssh.northeastern.edu/policyschool/program/ms-in-urban-planning-and-policy/" TargetMode="External"/><Relationship Id="rId1209" Type="http://schemas.openxmlformats.org/officeDocument/2006/relationships/hyperlink" Target="https://openalex.org/A5025328042" TargetMode="External"/><Relationship Id="rId1210" Type="http://schemas.openxmlformats.org/officeDocument/2006/relationships/hyperlink" Target="https://www.torontomu.ca/school-of-urban-and-regional-planning/" TargetMode="External"/><Relationship Id="rId1211" Type="http://schemas.openxmlformats.org/officeDocument/2006/relationships/hyperlink" Target="https://openalex.org/A5106812179" TargetMode="External"/><Relationship Id="rId1212" Type="http://schemas.openxmlformats.org/officeDocument/2006/relationships/hyperlink" Target="https://openalex.org/A5125128602" TargetMode="External"/><Relationship Id="rId1213" Type="http://schemas.openxmlformats.org/officeDocument/2006/relationships/hyperlink" Target="https://openalex.org/A5117516751" TargetMode="External"/><Relationship Id="rId1214" Type="http://schemas.openxmlformats.org/officeDocument/2006/relationships/hyperlink" Target="https://openalex.org/A5078722689" TargetMode="External"/><Relationship Id="rId1215" Type="http://schemas.openxmlformats.org/officeDocument/2006/relationships/hyperlink" Target="https://www.uta.edu/cappa/academics/planning-publicaffairs/index.php" TargetMode="External"/><Relationship Id="rId1216" Type="http://schemas.openxmlformats.org/officeDocument/2006/relationships/hyperlink" Target="https://openalex.org/A5072055173" TargetMode="External"/><Relationship Id="rId1217" Type="http://schemas.openxmlformats.org/officeDocument/2006/relationships/hyperlink" Target="https://openalex.org/A5140491892" TargetMode="External"/><Relationship Id="rId1218" Type="http://schemas.openxmlformats.org/officeDocument/2006/relationships/hyperlink" Target="http://planning.calpoly.edu/" TargetMode="External"/><Relationship Id="rId1219" Type="http://schemas.openxmlformats.org/officeDocument/2006/relationships/hyperlink" Target="https://openalex.org/A5006018870" TargetMode="External"/><Relationship Id="rId1220" Type="http://schemas.openxmlformats.org/officeDocument/2006/relationships/hyperlink" Target="https://openalex.org/A5124872388" TargetMode="External"/><Relationship Id="rId1221" Type="http://schemas.openxmlformats.org/officeDocument/2006/relationships/hyperlink" Target="https://openalex.org/A5084450283" TargetMode="External"/><Relationship Id="rId1222" Type="http://schemas.openxmlformats.org/officeDocument/2006/relationships/hyperlink" Target="http://morgan.edu/sap/crep" TargetMode="External"/><Relationship Id="rId1223" Type="http://schemas.openxmlformats.org/officeDocument/2006/relationships/hyperlink" Target="https://openalex.org/A5098846388" TargetMode="External"/><Relationship Id="rId1224" Type="http://schemas.openxmlformats.org/officeDocument/2006/relationships/hyperlink" Target="https://openalex.org/A5138268724" TargetMode="External"/><Relationship Id="rId1225" Type="http://schemas.openxmlformats.org/officeDocument/2006/relationships/hyperlink" Target="http://pratt.edu/academics/architecture/city-and-regional-planning/" TargetMode="External"/><Relationship Id="rId1226" Type="http://schemas.openxmlformats.org/officeDocument/2006/relationships/hyperlink" Target="https://openalex.org/A5050749020" TargetMode="External"/><Relationship Id="rId1227" Type="http://schemas.openxmlformats.org/officeDocument/2006/relationships/hyperlink" Target="http://urbdp.be.washington.edu/" TargetMode="External"/><Relationship Id="rId1228" Type="http://schemas.openxmlformats.org/officeDocument/2006/relationships/hyperlink" Target="https://openalex.org/A5012655879" TargetMode="External"/><Relationship Id="rId1229" Type="http://schemas.openxmlformats.org/officeDocument/2006/relationships/hyperlink" Target="https://openalex.org/A5037227044" TargetMode="External"/><Relationship Id="rId1230" Type="http://schemas.openxmlformats.org/officeDocument/2006/relationships/hyperlink" Target="https://openalex.org/A5084653699" TargetMode="External"/><Relationship Id="rId1231" Type="http://schemas.openxmlformats.org/officeDocument/2006/relationships/hyperlink" Target="https://openalex.org/A5080002019" TargetMode="External"/><Relationship Id="rId1232" Type="http://schemas.openxmlformats.org/officeDocument/2006/relationships/hyperlink" Target="https://openalex.org/A5104493531" TargetMode="External"/><Relationship Id="rId1233" Type="http://schemas.openxmlformats.org/officeDocument/2006/relationships/hyperlink" Target="http://sbs.mnsu.edu/ursi/" TargetMode="External"/><Relationship Id="rId1234" Type="http://schemas.openxmlformats.org/officeDocument/2006/relationships/hyperlink" Target="https://openalex.org/A5084071713" TargetMode="External"/><Relationship Id="rId1235" Type="http://schemas.openxmlformats.org/officeDocument/2006/relationships/hyperlink" Target="http://urbanisme.umontreal.ca/" TargetMode="External"/><Relationship Id="rId1236" Type="http://schemas.openxmlformats.org/officeDocument/2006/relationships/hyperlink" Target="https://openalex.org/A5028096392" TargetMode="External"/><Relationship Id="rId1237" Type="http://schemas.openxmlformats.org/officeDocument/2006/relationships/hyperlink" Target="https://openalex.org/A5112780261" TargetMode="External"/><Relationship Id="rId1238" Type="http://schemas.openxmlformats.org/officeDocument/2006/relationships/hyperlink" Target="https://openalex.org/A5111754466" TargetMode="External"/><Relationship Id="rId1239" Type="http://schemas.openxmlformats.org/officeDocument/2006/relationships/hyperlink" Target="https://openalex.org/A5078577632" TargetMode="External"/><Relationship Id="rId1240" Type="http://schemas.openxmlformats.org/officeDocument/2006/relationships/hyperlink" Target="http://sebs.rutgers.edu/" TargetMode="External"/><Relationship Id="rId1241" Type="http://schemas.openxmlformats.org/officeDocument/2006/relationships/hyperlink" Target="https://openalex.org/A5017443877" TargetMode="External"/><Relationship Id="rId1242" Type="http://schemas.openxmlformats.org/officeDocument/2006/relationships/hyperlink" Target="https://openalex.org/A5083152850" TargetMode="External"/><Relationship Id="rId1243" Type="http://schemas.openxmlformats.org/officeDocument/2006/relationships/hyperlink" Target="https://www.emich.edu/geography-geology/programs/urban-regional-planning/index.php" TargetMode="External"/><Relationship Id="rId1244" Type="http://schemas.openxmlformats.org/officeDocument/2006/relationships/hyperlink" Target="https://openalex.org/A5047256402" TargetMode="External"/><Relationship Id="rId1245" Type="http://schemas.openxmlformats.org/officeDocument/2006/relationships/hyperlink" Target="http://plan.cap.utah.edu/" TargetMode="External"/><Relationship Id="rId1246" Type="http://schemas.openxmlformats.org/officeDocument/2006/relationships/hyperlink" Target="https://openalex.org/A5075115194" TargetMode="External"/><Relationship Id="rId1247" Type="http://schemas.openxmlformats.org/officeDocument/2006/relationships/hyperlink" Target="https://openalex.org/A5050588605" TargetMode="External"/><Relationship Id="rId1248" Type="http://schemas.openxmlformats.org/officeDocument/2006/relationships/hyperlink" Target="http://ppd.soceco.uci.edu/" TargetMode="External"/><Relationship Id="rId1249" Type="http://schemas.openxmlformats.org/officeDocument/2006/relationships/hyperlink" Target="https://openalex.org/A5068355127" TargetMode="External"/><Relationship Id="rId1250" Type="http://schemas.openxmlformats.org/officeDocument/2006/relationships/hyperlink" Target="https://openalex.org/A5037034635" TargetMode="External"/><Relationship Id="rId1251" Type="http://schemas.openxmlformats.org/officeDocument/2006/relationships/hyperlink" Target="https://openalex.org/A5080805976" TargetMode="External"/><Relationship Id="rId1252" Type="http://schemas.openxmlformats.org/officeDocument/2006/relationships/hyperlink" Target="https://openalex.org/A5083832129" TargetMode="External"/><Relationship Id="rId1253" Type="http://schemas.openxmlformats.org/officeDocument/2006/relationships/hyperlink" Target="https://openalex.org/A5059349300" TargetMode="External"/><Relationship Id="rId1254" Type="http://schemas.openxmlformats.org/officeDocument/2006/relationships/hyperlink" Target="http://uwaterloo.ca/planning/" TargetMode="External"/><Relationship Id="rId1255" Type="http://schemas.openxmlformats.org/officeDocument/2006/relationships/hyperlink" Target="https://openalex.org/A5072030073" TargetMode="External"/><Relationship Id="rId1256" Type="http://schemas.openxmlformats.org/officeDocument/2006/relationships/hyperlink" Target="https://www.esad.ulaval.ca/en" TargetMode="External"/><Relationship Id="rId1257" Type="http://schemas.openxmlformats.org/officeDocument/2006/relationships/hyperlink" Target="https://openalex.org/A5064285122" TargetMode="External"/><Relationship Id="rId1258" Type="http://schemas.openxmlformats.org/officeDocument/2006/relationships/hyperlink" Target="https://openalex.org/A5100646631" TargetMode="External"/><Relationship Id="rId1259" Type="http://schemas.openxmlformats.org/officeDocument/2006/relationships/hyperlink" Target="https://openalex.org/A5100702006" TargetMode="External"/><Relationship Id="rId1260" Type="http://schemas.openxmlformats.org/officeDocument/2006/relationships/hyperlink" Target="https://openalex.org/A5042180520" TargetMode="External"/><Relationship Id="rId1261" Type="http://schemas.openxmlformats.org/officeDocument/2006/relationships/hyperlink" Target="https://openalex.org/A5078581080" TargetMode="External"/><Relationship Id="rId1262" Type="http://schemas.openxmlformats.org/officeDocument/2006/relationships/hyperlink" Target="http://newschool.edu/public-engagement/ms-urban-policy-analysis-management/" TargetMode="External"/><Relationship Id="rId1263" Type="http://schemas.openxmlformats.org/officeDocument/2006/relationships/hyperlink" Target="https://openalex.org/A5005260414" TargetMode="External"/><Relationship Id="rId1264" Type="http://schemas.openxmlformats.org/officeDocument/2006/relationships/hyperlink" Target="https://dpla.wisc.edu/" TargetMode="External"/><Relationship Id="rId1265" Type="http://schemas.openxmlformats.org/officeDocument/2006/relationships/hyperlink" Target="https://openalex.org/A5052438575" TargetMode="External"/><Relationship Id="rId1266" Type="http://schemas.openxmlformats.org/officeDocument/2006/relationships/hyperlink" Target="https://openalex.org/A5035113690" TargetMode="External"/><Relationship Id="rId1267" Type="http://schemas.openxmlformats.org/officeDocument/2006/relationships/hyperlink" Target="http://upp.uic.edu/" TargetMode="External"/><Relationship Id="rId1268" Type="http://schemas.openxmlformats.org/officeDocument/2006/relationships/hyperlink" Target="https://openalex.org/A5030696367" TargetMode="External"/><Relationship Id="rId1269" Type="http://schemas.openxmlformats.org/officeDocument/2006/relationships/hyperlink" Target="https://openalex.org/A5037334757" TargetMode="External"/><Relationship Id="rId1270" Type="http://schemas.openxmlformats.org/officeDocument/2006/relationships/hyperlink" Target="https://openalex.org/A5138263739" TargetMode="External"/><Relationship Id="rId1271" Type="http://schemas.openxmlformats.org/officeDocument/2006/relationships/hyperlink" Target="https://openalex.org/A5140704453" TargetMode="External"/><Relationship Id="rId1272" Type="http://schemas.openxmlformats.org/officeDocument/2006/relationships/hyperlink" Target="http://env.cpp.edu/urp/urp" TargetMode="External"/><Relationship Id="rId1273" Type="http://schemas.openxmlformats.org/officeDocument/2006/relationships/hyperlink" Target="http://coss.fsu.edu/durp/" TargetMode="External"/><Relationship Id="rId1274" Type="http://schemas.openxmlformats.org/officeDocument/2006/relationships/hyperlink" Target="http://pdx.edu/usp/master-urban-and-regional-planning-murp" TargetMode="External"/><Relationship Id="rId1275" Type="http://schemas.openxmlformats.org/officeDocument/2006/relationships/hyperlink" Target="http://uap.vt.edu/" TargetMode="External"/><Relationship Id="rId1276" Type="http://schemas.openxmlformats.org/officeDocument/2006/relationships/hyperlink" Target="https://www.torontomu.ca/school-of-urban-and-regional-planning/" TargetMode="External"/><Relationship Id="rId1277" Type="http://schemas.openxmlformats.org/officeDocument/2006/relationships/hyperlink" Target="http://env.cpp.edu/urp/urp" TargetMode="External"/><Relationship Id="rId1278" Type="http://schemas.openxmlformats.org/officeDocument/2006/relationships/hyperlink" Target="http://csun.edu/social-behavioral-sciences/urban-studies-planning" TargetMode="External"/><Relationship Id="rId1279" Type="http://schemas.openxmlformats.org/officeDocument/2006/relationships/hyperlink" Target="http://taubmancollege.umich.edu/urbanplanning" TargetMode="External"/><Relationship Id="rId1280" Type="http://schemas.openxmlformats.org/officeDocument/2006/relationships/hyperlink" Target="http://pppm.uoregon.edu/" TargetMode="External"/><Relationship Id="rId1281" Type="http://schemas.openxmlformats.org/officeDocument/2006/relationships/hyperlink" Target="http://westfield.ma.edu/academics/geography-and-regional-planning-department" TargetMode="External"/><Relationship Id="rId1282" Type="http://schemas.openxmlformats.org/officeDocument/2006/relationships/hyperlink" Target="http://morgan.edu/sap/crep" TargetMode="External"/><Relationship Id="rId1283" Type="http://schemas.openxmlformats.org/officeDocument/2006/relationships/hyperlink" Target="http://taubmancollege.umich.edu/urbanplanning" TargetMode="External"/><Relationship Id="rId1284" Type="http://schemas.openxmlformats.org/officeDocument/2006/relationships/hyperlink" Target="https://geo.appstate.edu/" TargetMode="External"/><Relationship Id="rId1285" Type="http://schemas.openxmlformats.org/officeDocument/2006/relationships/hyperlink" Target="http://utoledo.edu/llss/geography/" TargetMode="External"/><Relationship Id="rId128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23.8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23.8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23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2" t="s">
        <v>16</v>
      </c>
    </row>
    <row r="23" customFormat="false" ht="15" hidden="false" customHeight="false" outlineLevel="0" collapsed="false">
      <c r="A23" s="4" t="s">
        <v>17</v>
      </c>
    </row>
    <row r="24" customFormat="false" ht="15" hidden="false" customHeight="false" outlineLevel="0" collapsed="false">
      <c r="A24" s="5" t="s">
        <v>18</v>
      </c>
      <c r="B24" s="5" t="n">
        <f aca="false">COUNTA(Review!F2:F1022)</f>
        <v>1021</v>
      </c>
    </row>
    <row r="25" customFormat="false" ht="15" hidden="false" customHeight="false" outlineLevel="0" collapsed="false">
      <c r="A25" s="5" t="s">
        <v>19</v>
      </c>
      <c r="B25" s="5" t="n">
        <f aca="false">COUNTIF(Review!P2:P1022,"accepted")</f>
        <v>0</v>
      </c>
    </row>
    <row r="26" customFormat="false" ht="15" hidden="false" customHeight="false" outlineLevel="0" collapsed="false">
      <c r="A26" s="5" t="s">
        <v>20</v>
      </c>
      <c r="B26" s="5" t="n">
        <f aca="false">COUNTIF(Review!P2:P1022,"rejected")</f>
        <v>0</v>
      </c>
    </row>
    <row r="27" customFormat="false" ht="15" hidden="false" customHeight="false" outlineLevel="0" collapsed="false">
      <c r="A27" s="5" t="s">
        <v>21</v>
      </c>
      <c r="B27" s="5" t="n">
        <f aca="false">SUMPRODUCT((Review!P2:P1022="accepted")*1)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34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5"/>
    <col collapsed="false" customWidth="true" hidden="false" outlineLevel="0" max="15" min="14" style="0" width="7"/>
    <col collapsed="false" customWidth="true" hidden="false" outlineLevel="0" max="16" min="16" style="0" width="11"/>
    <col collapsed="false" customWidth="true" hidden="false" outlineLevel="0" max="17" min="17" style="0" width="13"/>
    <col collapsed="false" customWidth="true" hidden="false" outlineLevel="0" max="18" min="18" style="0" width="11"/>
    <col collapsed="false" customWidth="true" hidden="false" outlineLevel="0" max="19" min="19" style="0" width="30"/>
    <col collapsed="false" customWidth="true" hidden="true" outlineLevel="0" max="20" min="20" style="0" width="9"/>
    <col collapsed="false" customWidth="true" hidden="false" outlineLevel="0" max="21" min="21" style="0" width="13"/>
  </cols>
  <sheetData>
    <row r="1" customFormat="false" ht="23.85" hidden="false" customHeight="fals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  <c r="K1" s="6" t="s">
        <v>32</v>
      </c>
      <c r="L1" s="6" t="s">
        <v>33</v>
      </c>
      <c r="M1" s="6" t="s">
        <v>34</v>
      </c>
      <c r="N1" s="6" t="s">
        <v>35</v>
      </c>
      <c r="O1" s="6" t="s">
        <v>36</v>
      </c>
      <c r="P1" s="6" t="s">
        <v>37</v>
      </c>
      <c r="Q1" s="6" t="s">
        <v>38</v>
      </c>
      <c r="R1" s="6" t="s">
        <v>39</v>
      </c>
      <c r="S1" s="6" t="s">
        <v>40</v>
      </c>
      <c r="T1" s="6" t="s">
        <v>41</v>
      </c>
      <c r="U1" s="6" t="s">
        <v>42</v>
      </c>
    </row>
    <row r="2" customFormat="false" ht="15" hidden="false" customHeight="false" outlineLevel="0" collapsed="false">
      <c r="A2" s="7" t="s">
        <v>43</v>
      </c>
      <c r="B2" s="7" t="s">
        <v>44</v>
      </c>
      <c r="C2" s="8" t="s">
        <v>45</v>
      </c>
      <c r="D2" s="7" t="s">
        <v>46</v>
      </c>
      <c r="E2" s="7" t="n">
        <v>1313</v>
      </c>
      <c r="F2" s="9" t="s">
        <v>44</v>
      </c>
      <c r="G2" s="10" t="s">
        <v>47</v>
      </c>
      <c r="H2" s="9"/>
      <c r="I2" s="9" t="n">
        <v>72</v>
      </c>
      <c r="J2" s="9" t="n">
        <v>1330</v>
      </c>
      <c r="K2" s="11" t="n">
        <v>1.048</v>
      </c>
      <c r="L2" s="11" t="n">
        <v>1</v>
      </c>
      <c r="M2" s="9" t="n">
        <v>1</v>
      </c>
      <c r="N2" s="11" t="n">
        <v>0.736</v>
      </c>
      <c r="O2" s="11" t="n">
        <v>0.96</v>
      </c>
      <c r="P2" s="12"/>
      <c r="Q2" s="12"/>
      <c r="R2" s="12"/>
      <c r="S2" s="12"/>
      <c r="T2" s="9" t="s">
        <v>48</v>
      </c>
      <c r="U2" s="9" t="s">
        <v>47</v>
      </c>
    </row>
    <row r="3" customFormat="false" ht="15" hidden="false" customHeight="false" outlineLevel="0" collapsed="false">
      <c r="A3" s="9"/>
      <c r="B3" s="9"/>
      <c r="C3" s="9"/>
      <c r="D3" s="9"/>
      <c r="E3" s="9"/>
      <c r="F3" s="9" t="s">
        <v>44</v>
      </c>
      <c r="G3" s="10" t="s">
        <v>49</v>
      </c>
      <c r="H3" s="9" t="s">
        <v>50</v>
      </c>
      <c r="I3" s="9" t="n">
        <v>1</v>
      </c>
      <c r="J3" s="9" t="n">
        <v>0</v>
      </c>
      <c r="K3" s="11" t="n">
        <v>0</v>
      </c>
      <c r="L3" s="11" t="n">
        <v>1</v>
      </c>
      <c r="M3" s="9" t="n">
        <v>1</v>
      </c>
      <c r="N3" s="11" t="n">
        <v>1</v>
      </c>
      <c r="O3" s="11" t="n">
        <v>0.9</v>
      </c>
      <c r="P3" s="12"/>
      <c r="Q3" s="12"/>
      <c r="R3" s="12"/>
      <c r="S3" s="12"/>
      <c r="T3" s="9" t="s">
        <v>48</v>
      </c>
      <c r="U3" s="9" t="s">
        <v>49</v>
      </c>
    </row>
    <row r="4" customFormat="false" ht="15" hidden="false" customHeight="false" outlineLevel="0" collapsed="false">
      <c r="A4" s="9"/>
      <c r="B4" s="9"/>
      <c r="C4" s="9"/>
      <c r="D4" s="9"/>
      <c r="E4" s="9"/>
      <c r="F4" s="9" t="s">
        <v>44</v>
      </c>
      <c r="G4" s="10" t="s">
        <v>51</v>
      </c>
      <c r="H4" s="9" t="s">
        <v>52</v>
      </c>
      <c r="I4" s="9" t="n">
        <v>4</v>
      </c>
      <c r="J4" s="9" t="n">
        <v>58</v>
      </c>
      <c r="K4" s="11" t="n">
        <v>0.046</v>
      </c>
      <c r="L4" s="11" t="n">
        <v>1</v>
      </c>
      <c r="M4" s="9" t="n">
        <v>1</v>
      </c>
      <c r="N4" s="11" t="n">
        <v>0.6</v>
      </c>
      <c r="O4" s="11" t="n">
        <v>0.89</v>
      </c>
      <c r="P4" s="12"/>
      <c r="Q4" s="12"/>
      <c r="R4" s="12"/>
      <c r="S4" s="12"/>
      <c r="T4" s="9" t="s">
        <v>48</v>
      </c>
      <c r="U4" s="9" t="s">
        <v>51</v>
      </c>
    </row>
    <row r="5" customFormat="false" ht="15" hidden="false" customHeight="false" outlineLevel="0" collapsed="false">
      <c r="A5" s="9"/>
      <c r="B5" s="9"/>
      <c r="C5" s="9"/>
      <c r="D5" s="9"/>
      <c r="E5" s="9"/>
      <c r="F5" s="9" t="s">
        <v>53</v>
      </c>
      <c r="G5" s="10" t="s">
        <v>54</v>
      </c>
      <c r="H5" s="9"/>
      <c r="I5" s="9" t="n">
        <v>6</v>
      </c>
      <c r="J5" s="9" t="n">
        <v>25</v>
      </c>
      <c r="K5" s="11" t="n">
        <v>0.02</v>
      </c>
      <c r="L5" s="11" t="n">
        <v>1</v>
      </c>
      <c r="M5" s="9" t="n">
        <v>0</v>
      </c>
      <c r="N5" s="11" t="n">
        <v>1</v>
      </c>
      <c r="O5" s="11" t="n">
        <v>0.6</v>
      </c>
      <c r="P5" s="12"/>
      <c r="Q5" s="12"/>
      <c r="R5" s="12"/>
      <c r="S5" s="12"/>
      <c r="T5" s="9" t="s">
        <v>48</v>
      </c>
      <c r="U5" s="9" t="s">
        <v>54</v>
      </c>
    </row>
    <row r="6" customFormat="false" ht="15" hidden="false" customHeight="false" outlineLevel="0" collapsed="false">
      <c r="A6" s="9"/>
      <c r="B6" s="9"/>
      <c r="C6" s="9"/>
      <c r="D6" s="9"/>
      <c r="E6" s="9"/>
      <c r="F6" s="9" t="s">
        <v>55</v>
      </c>
      <c r="G6" s="10" t="s">
        <v>56</v>
      </c>
      <c r="H6" s="9"/>
      <c r="I6" s="9" t="n">
        <v>1</v>
      </c>
      <c r="J6" s="9" t="n">
        <v>5</v>
      </c>
      <c r="K6" s="11" t="n">
        <v>0.004</v>
      </c>
      <c r="L6" s="11" t="n">
        <v>1</v>
      </c>
      <c r="M6" s="9" t="n">
        <v>0</v>
      </c>
      <c r="N6" s="11" t="n">
        <v>1</v>
      </c>
      <c r="O6" s="11" t="n">
        <v>0.6</v>
      </c>
      <c r="P6" s="12"/>
      <c r="Q6" s="12"/>
      <c r="R6" s="12"/>
      <c r="S6" s="12"/>
      <c r="T6" s="9" t="s">
        <v>48</v>
      </c>
      <c r="U6" s="9" t="s">
        <v>56</v>
      </c>
    </row>
    <row r="7" customFormat="false" ht="15" hidden="false" customHeight="false" outlineLevel="0" collapsed="false">
      <c r="A7" s="7" t="s">
        <v>43</v>
      </c>
      <c r="B7" s="7" t="s">
        <v>57</v>
      </c>
      <c r="C7" s="8" t="s">
        <v>58</v>
      </c>
      <c r="D7" s="7" t="s">
        <v>59</v>
      </c>
      <c r="E7" s="7" t="n">
        <v>1945</v>
      </c>
      <c r="F7" s="9" t="s">
        <v>60</v>
      </c>
      <c r="G7" s="10" t="s">
        <v>61</v>
      </c>
      <c r="H7" s="9" t="s">
        <v>58</v>
      </c>
      <c r="I7" s="9" t="n">
        <v>61</v>
      </c>
      <c r="J7" s="9" t="n">
        <v>771</v>
      </c>
      <c r="K7" s="11" t="n">
        <v>0.396</v>
      </c>
      <c r="L7" s="11" t="n">
        <v>0.92</v>
      </c>
      <c r="M7" s="9" t="n">
        <v>1</v>
      </c>
      <c r="N7" s="11" t="n">
        <v>1</v>
      </c>
      <c r="O7" s="11" t="n">
        <v>0.964</v>
      </c>
      <c r="P7" s="12"/>
      <c r="Q7" s="12"/>
      <c r="R7" s="12"/>
      <c r="S7" s="12"/>
      <c r="T7" s="9" t="s">
        <v>62</v>
      </c>
      <c r="U7" s="9" t="s">
        <v>61</v>
      </c>
    </row>
    <row r="8" customFormat="false" ht="15" hidden="false" customHeight="false" outlineLevel="0" collapsed="false">
      <c r="A8" s="9"/>
      <c r="B8" s="9"/>
      <c r="C8" s="9"/>
      <c r="D8" s="9"/>
      <c r="E8" s="9"/>
      <c r="F8" s="9" t="s">
        <v>63</v>
      </c>
      <c r="G8" s="10" t="s">
        <v>64</v>
      </c>
      <c r="H8" s="9" t="s">
        <v>65</v>
      </c>
      <c r="I8" s="9" t="n">
        <v>55</v>
      </c>
      <c r="J8" s="9" t="n">
        <v>1046</v>
      </c>
      <c r="K8" s="11" t="n">
        <v>0.538</v>
      </c>
      <c r="L8" s="11" t="n">
        <v>1</v>
      </c>
      <c r="M8" s="9" t="n">
        <v>1</v>
      </c>
      <c r="N8" s="11" t="n">
        <v>0.596</v>
      </c>
      <c r="O8" s="11" t="n">
        <v>0.939</v>
      </c>
      <c r="P8" s="12"/>
      <c r="Q8" s="12"/>
      <c r="R8" s="12"/>
      <c r="S8" s="12"/>
      <c r="T8" s="9" t="s">
        <v>62</v>
      </c>
      <c r="U8" s="9" t="s">
        <v>64</v>
      </c>
    </row>
    <row r="9" customFormat="false" ht="15" hidden="false" customHeight="false" outlineLevel="0" collapsed="false">
      <c r="A9" s="9"/>
      <c r="B9" s="9"/>
      <c r="C9" s="9"/>
      <c r="D9" s="9"/>
      <c r="E9" s="9"/>
      <c r="F9" s="9" t="s">
        <v>66</v>
      </c>
      <c r="G9" s="10" t="s">
        <v>67</v>
      </c>
      <c r="H9" s="9" t="s">
        <v>68</v>
      </c>
      <c r="I9" s="9" t="n">
        <v>5</v>
      </c>
      <c r="J9" s="9" t="n">
        <v>228</v>
      </c>
      <c r="K9" s="11" t="n">
        <v>0.117</v>
      </c>
      <c r="L9" s="11" t="n">
        <v>1</v>
      </c>
      <c r="M9" s="9" t="n">
        <v>0</v>
      </c>
      <c r="N9" s="11" t="n">
        <v>0.5</v>
      </c>
      <c r="O9" s="11" t="n">
        <v>0.625</v>
      </c>
      <c r="P9" s="12"/>
      <c r="Q9" s="12"/>
      <c r="R9" s="12"/>
      <c r="S9" s="12"/>
      <c r="T9" s="9" t="s">
        <v>62</v>
      </c>
      <c r="U9" s="9" t="s">
        <v>67</v>
      </c>
    </row>
    <row r="10" customFormat="false" ht="15" hidden="false" customHeight="false" outlineLevel="0" collapsed="false">
      <c r="A10" s="9"/>
      <c r="B10" s="9"/>
      <c r="C10" s="9"/>
      <c r="D10" s="9"/>
      <c r="E10" s="9"/>
      <c r="F10" s="9" t="s">
        <v>69</v>
      </c>
      <c r="G10" s="10" t="s">
        <v>70</v>
      </c>
      <c r="H10" s="9"/>
      <c r="I10" s="9" t="n">
        <v>1</v>
      </c>
      <c r="J10" s="9" t="n">
        <v>1</v>
      </c>
      <c r="K10" s="11" t="n">
        <v>0.001</v>
      </c>
      <c r="L10" s="11" t="n">
        <v>1</v>
      </c>
      <c r="M10" s="9" t="n">
        <v>0</v>
      </c>
      <c r="N10" s="11" t="n">
        <v>1</v>
      </c>
      <c r="O10" s="11" t="n">
        <v>0.6</v>
      </c>
      <c r="P10" s="12"/>
      <c r="Q10" s="12"/>
      <c r="R10" s="12"/>
      <c r="S10" s="12"/>
      <c r="T10" s="9" t="s">
        <v>62</v>
      </c>
      <c r="U10" s="9" t="s">
        <v>70</v>
      </c>
    </row>
    <row r="11" customFormat="false" ht="15" hidden="false" customHeight="false" outlineLevel="0" collapsed="false">
      <c r="A11" s="9"/>
      <c r="B11" s="9"/>
      <c r="C11" s="9"/>
      <c r="D11" s="9"/>
      <c r="E11" s="9"/>
      <c r="F11" s="9" t="s">
        <v>71</v>
      </c>
      <c r="G11" s="10" t="s">
        <v>72</v>
      </c>
      <c r="H11" s="9" t="s">
        <v>65</v>
      </c>
      <c r="I11" s="9" t="n">
        <v>1</v>
      </c>
      <c r="J11" s="9" t="n">
        <v>0</v>
      </c>
      <c r="K11" s="11" t="n">
        <v>0</v>
      </c>
      <c r="L11" s="11" t="n">
        <v>1</v>
      </c>
      <c r="M11" s="9" t="n">
        <v>0</v>
      </c>
      <c r="N11" s="11" t="n">
        <v>1</v>
      </c>
      <c r="O11" s="11" t="n">
        <v>0.6</v>
      </c>
      <c r="P11" s="12"/>
      <c r="Q11" s="12"/>
      <c r="R11" s="12"/>
      <c r="S11" s="12"/>
      <c r="T11" s="9" t="s">
        <v>62</v>
      </c>
      <c r="U11" s="9" t="s">
        <v>72</v>
      </c>
    </row>
    <row r="12" customFormat="false" ht="15" hidden="false" customHeight="false" outlineLevel="0" collapsed="false">
      <c r="A12" s="7" t="s">
        <v>43</v>
      </c>
      <c r="B12" s="7" t="s">
        <v>73</v>
      </c>
      <c r="C12" s="8" t="s">
        <v>74</v>
      </c>
      <c r="D12" s="7" t="s">
        <v>75</v>
      </c>
      <c r="E12" s="7" t="n">
        <v>2430</v>
      </c>
      <c r="F12" s="9" t="s">
        <v>73</v>
      </c>
      <c r="G12" s="10" t="s">
        <v>76</v>
      </c>
      <c r="H12" s="9" t="s">
        <v>74</v>
      </c>
      <c r="I12" s="9" t="n">
        <v>31</v>
      </c>
      <c r="J12" s="9" t="n">
        <v>727</v>
      </c>
      <c r="K12" s="11" t="n">
        <v>0.308</v>
      </c>
      <c r="L12" s="11" t="n">
        <v>1</v>
      </c>
      <c r="M12" s="9" t="n">
        <v>1</v>
      </c>
      <c r="N12" s="11" t="n">
        <v>0.829</v>
      </c>
      <c r="O12" s="11" t="n">
        <v>0.974</v>
      </c>
      <c r="P12" s="12"/>
      <c r="Q12" s="12"/>
      <c r="R12" s="12"/>
      <c r="S12" s="12"/>
      <c r="T12" s="9" t="s">
        <v>77</v>
      </c>
      <c r="U12" s="9" t="s">
        <v>76</v>
      </c>
    </row>
    <row r="13" customFormat="false" ht="15" hidden="false" customHeight="false" outlineLevel="0" collapsed="false">
      <c r="A13" s="9"/>
      <c r="B13" s="9"/>
      <c r="C13" s="9"/>
      <c r="D13" s="9"/>
      <c r="E13" s="9"/>
      <c r="F13" s="9" t="s">
        <v>78</v>
      </c>
      <c r="G13" s="10" t="s">
        <v>79</v>
      </c>
      <c r="H13" s="9" t="s">
        <v>74</v>
      </c>
      <c r="I13" s="9" t="n">
        <v>7</v>
      </c>
      <c r="J13" s="9" t="n">
        <v>227</v>
      </c>
      <c r="K13" s="11" t="n">
        <v>0.096</v>
      </c>
      <c r="L13" s="11" t="n">
        <v>1</v>
      </c>
      <c r="M13" s="9" t="n">
        <v>1</v>
      </c>
      <c r="N13" s="11" t="n">
        <v>0.429</v>
      </c>
      <c r="O13" s="11" t="n">
        <v>0.864</v>
      </c>
      <c r="P13" s="12"/>
      <c r="Q13" s="12"/>
      <c r="R13" s="12"/>
      <c r="S13" s="12"/>
      <c r="T13" s="9" t="s">
        <v>77</v>
      </c>
      <c r="U13" s="9" t="s">
        <v>79</v>
      </c>
    </row>
    <row r="14" customFormat="false" ht="15" hidden="false" customHeight="false" outlineLevel="0" collapsed="false">
      <c r="A14" s="7" t="s">
        <v>43</v>
      </c>
      <c r="B14" s="7" t="s">
        <v>80</v>
      </c>
      <c r="C14" s="8" t="s">
        <v>81</v>
      </c>
      <c r="D14" s="7" t="s">
        <v>82</v>
      </c>
      <c r="E14" s="7" t="n">
        <v>2084</v>
      </c>
      <c r="F14" s="9" t="s">
        <v>83</v>
      </c>
      <c r="G14" s="10" t="s">
        <v>84</v>
      </c>
      <c r="H14" s="9" t="s">
        <v>81</v>
      </c>
      <c r="I14" s="9" t="n">
        <v>75</v>
      </c>
      <c r="J14" s="9" t="n">
        <v>1048</v>
      </c>
      <c r="K14" s="11" t="n">
        <v>0.592</v>
      </c>
      <c r="L14" s="11" t="n">
        <v>1</v>
      </c>
      <c r="M14" s="9" t="n">
        <v>1</v>
      </c>
      <c r="N14" s="11" t="n">
        <v>1</v>
      </c>
      <c r="O14" s="11" t="n">
        <v>1</v>
      </c>
      <c r="P14" s="12"/>
      <c r="Q14" s="12"/>
      <c r="R14" s="12"/>
      <c r="S14" s="12"/>
      <c r="T14" s="9" t="s">
        <v>85</v>
      </c>
      <c r="U14" s="9" t="s">
        <v>84</v>
      </c>
    </row>
    <row r="15" customFormat="false" ht="15" hidden="false" customHeight="false" outlineLevel="0" collapsed="false">
      <c r="A15" s="9"/>
      <c r="B15" s="9"/>
      <c r="C15" s="9"/>
      <c r="D15" s="9"/>
      <c r="E15" s="9"/>
      <c r="F15" s="9" t="s">
        <v>80</v>
      </c>
      <c r="G15" s="10" t="s">
        <v>86</v>
      </c>
      <c r="H15" s="9" t="s">
        <v>81</v>
      </c>
      <c r="I15" s="9" t="n">
        <v>3</v>
      </c>
      <c r="J15" s="9" t="n">
        <v>63</v>
      </c>
      <c r="K15" s="11" t="n">
        <v>0.036</v>
      </c>
      <c r="L15" s="11" t="n">
        <v>1</v>
      </c>
      <c r="M15" s="9" t="n">
        <v>1</v>
      </c>
      <c r="N15" s="11" t="n">
        <v>0.857</v>
      </c>
      <c r="O15" s="11" t="n">
        <v>0.929</v>
      </c>
      <c r="P15" s="12"/>
      <c r="Q15" s="12"/>
      <c r="R15" s="12"/>
      <c r="S15" s="12"/>
      <c r="T15" s="9" t="s">
        <v>85</v>
      </c>
      <c r="U15" s="9" t="s">
        <v>86</v>
      </c>
    </row>
    <row r="16" customFormat="false" ht="15" hidden="false" customHeight="false" outlineLevel="0" collapsed="false">
      <c r="A16" s="9"/>
      <c r="B16" s="9"/>
      <c r="C16" s="9"/>
      <c r="D16" s="9"/>
      <c r="E16" s="9"/>
      <c r="F16" s="9" t="s">
        <v>83</v>
      </c>
      <c r="G16" s="10" t="s">
        <v>87</v>
      </c>
      <c r="H16" s="9" t="s">
        <v>81</v>
      </c>
      <c r="I16" s="9" t="n">
        <v>1</v>
      </c>
      <c r="J16" s="9" t="n">
        <v>1</v>
      </c>
      <c r="K16" s="11" t="n">
        <v>0.001</v>
      </c>
      <c r="L16" s="11" t="n">
        <v>0.904</v>
      </c>
      <c r="M16" s="9" t="n">
        <v>1</v>
      </c>
      <c r="N16" s="11" t="n">
        <v>1</v>
      </c>
      <c r="O16" s="11" t="n">
        <v>0.857</v>
      </c>
      <c r="P16" s="12"/>
      <c r="Q16" s="12"/>
      <c r="R16" s="12"/>
      <c r="S16" s="12"/>
      <c r="T16" s="9" t="s">
        <v>85</v>
      </c>
      <c r="U16" s="9" t="s">
        <v>87</v>
      </c>
    </row>
    <row r="17" customFormat="false" ht="15" hidden="false" customHeight="false" outlineLevel="0" collapsed="false">
      <c r="A17" s="9"/>
      <c r="B17" s="9"/>
      <c r="C17" s="9"/>
      <c r="D17" s="9"/>
      <c r="E17" s="9"/>
      <c r="F17" s="9" t="s">
        <v>83</v>
      </c>
      <c r="G17" s="10" t="s">
        <v>88</v>
      </c>
      <c r="H17" s="9" t="s">
        <v>81</v>
      </c>
      <c r="I17" s="9" t="n">
        <v>1</v>
      </c>
      <c r="J17" s="9" t="n">
        <v>0</v>
      </c>
      <c r="K17" s="11" t="n">
        <v>0</v>
      </c>
      <c r="L17" s="11" t="n">
        <v>0.904</v>
      </c>
      <c r="M17" s="9" t="n">
        <v>1</v>
      </c>
      <c r="N17" s="11" t="n">
        <v>1</v>
      </c>
      <c r="O17" s="11" t="n">
        <v>0.857</v>
      </c>
      <c r="P17" s="12"/>
      <c r="Q17" s="12"/>
      <c r="R17" s="12"/>
      <c r="S17" s="12"/>
      <c r="T17" s="9" t="s">
        <v>85</v>
      </c>
      <c r="U17" s="9" t="s">
        <v>88</v>
      </c>
    </row>
    <row r="18" customFormat="false" ht="15" hidden="false" customHeight="false" outlineLevel="0" collapsed="false">
      <c r="A18" s="9"/>
      <c r="B18" s="9"/>
      <c r="C18" s="9"/>
      <c r="D18" s="9"/>
      <c r="E18" s="9"/>
      <c r="F18" s="9" t="s">
        <v>89</v>
      </c>
      <c r="G18" s="10" t="s">
        <v>90</v>
      </c>
      <c r="H18" s="9"/>
      <c r="I18" s="9" t="n">
        <v>2</v>
      </c>
      <c r="J18" s="9" t="n">
        <v>215</v>
      </c>
      <c r="K18" s="11" t="n">
        <v>0.121</v>
      </c>
      <c r="L18" s="11" t="n">
        <v>1</v>
      </c>
      <c r="M18" s="9" t="n">
        <v>0</v>
      </c>
      <c r="N18" s="11" t="n">
        <v>1</v>
      </c>
      <c r="O18" s="11" t="n">
        <v>0.7</v>
      </c>
      <c r="P18" s="12"/>
      <c r="Q18" s="12"/>
      <c r="R18" s="12"/>
      <c r="S18" s="12"/>
      <c r="T18" s="9" t="s">
        <v>85</v>
      </c>
      <c r="U18" s="9" t="s">
        <v>90</v>
      </c>
    </row>
    <row r="19" customFormat="false" ht="15" hidden="false" customHeight="false" outlineLevel="0" collapsed="false">
      <c r="A19" s="7" t="s">
        <v>43</v>
      </c>
      <c r="B19" s="7" t="s">
        <v>91</v>
      </c>
      <c r="C19" s="8" t="s">
        <v>92</v>
      </c>
      <c r="D19" s="7" t="s">
        <v>93</v>
      </c>
      <c r="E19" s="7" t="n">
        <v>6733</v>
      </c>
      <c r="F19" s="9" t="s">
        <v>91</v>
      </c>
      <c r="G19" s="10" t="s">
        <v>94</v>
      </c>
      <c r="H19" s="9" t="s">
        <v>95</v>
      </c>
      <c r="I19" s="9" t="n">
        <v>163</v>
      </c>
      <c r="J19" s="9" t="n">
        <v>3534</v>
      </c>
      <c r="K19" s="11" t="n">
        <v>0.565</v>
      </c>
      <c r="L19" s="11" t="n">
        <v>1</v>
      </c>
      <c r="M19" s="9" t="n">
        <v>1</v>
      </c>
      <c r="N19" s="11" t="n">
        <v>1</v>
      </c>
      <c r="O19" s="11" t="n">
        <v>1</v>
      </c>
      <c r="P19" s="12"/>
      <c r="Q19" s="12"/>
      <c r="R19" s="12"/>
      <c r="S19" s="12"/>
      <c r="T19" s="9" t="s">
        <v>96</v>
      </c>
      <c r="U19" s="9" t="s">
        <v>94</v>
      </c>
    </row>
    <row r="20" customFormat="false" ht="15" hidden="false" customHeight="false" outlineLevel="0" collapsed="false">
      <c r="A20" s="9"/>
      <c r="B20" s="9"/>
      <c r="C20" s="9"/>
      <c r="D20" s="9"/>
      <c r="E20" s="9"/>
      <c r="F20" s="9" t="s">
        <v>91</v>
      </c>
      <c r="G20" s="10" t="s">
        <v>97</v>
      </c>
      <c r="H20" s="9" t="s">
        <v>95</v>
      </c>
      <c r="I20" s="9" t="n">
        <v>6</v>
      </c>
      <c r="J20" s="9" t="n">
        <v>0</v>
      </c>
      <c r="K20" s="11" t="n">
        <v>0</v>
      </c>
      <c r="L20" s="11" t="n">
        <v>1</v>
      </c>
      <c r="M20" s="9" t="n">
        <v>1</v>
      </c>
      <c r="N20" s="11" t="n">
        <v>1</v>
      </c>
      <c r="O20" s="11" t="n">
        <v>0.9</v>
      </c>
      <c r="P20" s="12"/>
      <c r="Q20" s="12"/>
      <c r="R20" s="12"/>
      <c r="S20" s="12"/>
      <c r="T20" s="9" t="s">
        <v>96</v>
      </c>
      <c r="U20" s="9" t="s">
        <v>97</v>
      </c>
    </row>
    <row r="21" customFormat="false" ht="15" hidden="false" customHeight="false" outlineLevel="0" collapsed="false">
      <c r="A21" s="9"/>
      <c r="B21" s="9"/>
      <c r="C21" s="9"/>
      <c r="D21" s="9"/>
      <c r="E21" s="9"/>
      <c r="F21" s="9" t="s">
        <v>98</v>
      </c>
      <c r="G21" s="10" t="s">
        <v>99</v>
      </c>
      <c r="H21" s="9" t="s">
        <v>95</v>
      </c>
      <c r="I21" s="9" t="n">
        <v>1</v>
      </c>
      <c r="J21" s="9" t="n">
        <v>0</v>
      </c>
      <c r="K21" s="11" t="n">
        <v>0</v>
      </c>
      <c r="L21" s="11" t="n">
        <v>1</v>
      </c>
      <c r="M21" s="9" t="n">
        <v>1</v>
      </c>
      <c r="N21" s="11" t="n">
        <v>1</v>
      </c>
      <c r="O21" s="11" t="n">
        <v>0.9</v>
      </c>
      <c r="P21" s="12"/>
      <c r="Q21" s="12"/>
      <c r="R21" s="12"/>
      <c r="S21" s="12"/>
      <c r="T21" s="9" t="s">
        <v>96</v>
      </c>
      <c r="U21" s="9" t="s">
        <v>99</v>
      </c>
    </row>
    <row r="22" customFormat="false" ht="15" hidden="false" customHeight="false" outlineLevel="0" collapsed="false">
      <c r="A22" s="7" t="s">
        <v>43</v>
      </c>
      <c r="B22" s="7" t="s">
        <v>100</v>
      </c>
      <c r="C22" s="8" t="s">
        <v>101</v>
      </c>
      <c r="D22" s="7" t="s">
        <v>102</v>
      </c>
      <c r="E22" s="7" t="n">
        <v>18911</v>
      </c>
      <c r="F22" s="9" t="s">
        <v>100</v>
      </c>
      <c r="G22" s="10" t="s">
        <v>103</v>
      </c>
      <c r="H22" s="9" t="s">
        <v>104</v>
      </c>
      <c r="I22" s="9" t="n">
        <v>67</v>
      </c>
      <c r="J22" s="9" t="n">
        <v>5688</v>
      </c>
      <c r="K22" s="11" t="n">
        <v>0.312</v>
      </c>
      <c r="L22" s="11" t="n">
        <v>1</v>
      </c>
      <c r="M22" s="9" t="n">
        <v>1</v>
      </c>
      <c r="N22" s="11" t="n">
        <v>1</v>
      </c>
      <c r="O22" s="11" t="n">
        <v>1</v>
      </c>
      <c r="P22" s="12"/>
      <c r="Q22" s="12"/>
      <c r="R22" s="12"/>
      <c r="S22" s="12"/>
      <c r="T22" s="9" t="s">
        <v>105</v>
      </c>
      <c r="U22" s="9" t="s">
        <v>103</v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9" t="s">
        <v>106</v>
      </c>
      <c r="G23" s="10" t="s">
        <v>107</v>
      </c>
      <c r="H23" s="9" t="s">
        <v>108</v>
      </c>
      <c r="I23" s="9" t="n">
        <v>10</v>
      </c>
      <c r="J23" s="9" t="n">
        <v>954</v>
      </c>
      <c r="K23" s="11" t="n">
        <v>0.052</v>
      </c>
      <c r="L23" s="11" t="n">
        <v>1</v>
      </c>
      <c r="M23" s="9" t="n">
        <v>1</v>
      </c>
      <c r="N23" s="11" t="n">
        <v>0.889</v>
      </c>
      <c r="O23" s="11" t="n">
        <v>0.933</v>
      </c>
      <c r="P23" s="12"/>
      <c r="Q23" s="12"/>
      <c r="R23" s="12"/>
      <c r="S23" s="12"/>
      <c r="T23" s="9" t="s">
        <v>105</v>
      </c>
      <c r="U23" s="9" t="s">
        <v>107</v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9" t="s">
        <v>106</v>
      </c>
      <c r="G24" s="10" t="s">
        <v>109</v>
      </c>
      <c r="H24" s="9" t="s">
        <v>110</v>
      </c>
      <c r="I24" s="9" t="n">
        <v>1</v>
      </c>
      <c r="J24" s="9" t="n">
        <v>5</v>
      </c>
      <c r="K24" s="11" t="n">
        <v>0</v>
      </c>
      <c r="L24" s="11" t="n">
        <v>1</v>
      </c>
      <c r="M24" s="9" t="n">
        <v>1</v>
      </c>
      <c r="N24" s="11" t="n">
        <v>1</v>
      </c>
      <c r="O24" s="11" t="n">
        <v>0.9</v>
      </c>
      <c r="P24" s="12"/>
      <c r="Q24" s="12"/>
      <c r="R24" s="12"/>
      <c r="S24" s="12"/>
      <c r="T24" s="9" t="s">
        <v>105</v>
      </c>
      <c r="U24" s="9" t="s">
        <v>109</v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9" t="s">
        <v>111</v>
      </c>
      <c r="G25" s="10" t="s">
        <v>112</v>
      </c>
      <c r="H25" s="9"/>
      <c r="I25" s="9" t="n">
        <v>1</v>
      </c>
      <c r="J25" s="9" t="n">
        <v>1</v>
      </c>
      <c r="K25" s="11" t="n">
        <v>0</v>
      </c>
      <c r="L25" s="11" t="n">
        <v>1</v>
      </c>
      <c r="M25" s="9" t="n">
        <v>0</v>
      </c>
      <c r="N25" s="11" t="n">
        <v>1</v>
      </c>
      <c r="O25" s="11" t="n">
        <v>0.6</v>
      </c>
      <c r="P25" s="12"/>
      <c r="Q25" s="12"/>
      <c r="R25" s="12"/>
      <c r="S25" s="12"/>
      <c r="T25" s="9" t="s">
        <v>105</v>
      </c>
      <c r="U25" s="9" t="s">
        <v>112</v>
      </c>
    </row>
    <row r="26" customFormat="false" ht="15" hidden="false" customHeight="false" outlineLevel="0" collapsed="false">
      <c r="A26" s="9"/>
      <c r="B26" s="9"/>
      <c r="C26" s="9"/>
      <c r="D26" s="9"/>
      <c r="E26" s="9"/>
      <c r="F26" s="9" t="s">
        <v>111</v>
      </c>
      <c r="G26" s="10" t="s">
        <v>113</v>
      </c>
      <c r="H26" s="9"/>
      <c r="I26" s="9" t="n">
        <v>2</v>
      </c>
      <c r="J26" s="9" t="n">
        <v>1</v>
      </c>
      <c r="K26" s="11" t="n">
        <v>0</v>
      </c>
      <c r="L26" s="11" t="n">
        <v>1</v>
      </c>
      <c r="M26" s="9" t="n">
        <v>0</v>
      </c>
      <c r="N26" s="11" t="n">
        <v>1</v>
      </c>
      <c r="O26" s="11" t="n">
        <v>0.6</v>
      </c>
      <c r="P26" s="12"/>
      <c r="Q26" s="12"/>
      <c r="R26" s="12"/>
      <c r="S26" s="12"/>
      <c r="T26" s="9" t="s">
        <v>105</v>
      </c>
      <c r="U26" s="9" t="s">
        <v>113</v>
      </c>
    </row>
    <row r="27" customFormat="false" ht="15" hidden="false" customHeight="false" outlineLevel="0" collapsed="false">
      <c r="A27" s="7" t="s">
        <v>43</v>
      </c>
      <c r="B27" s="7" t="s">
        <v>114</v>
      </c>
      <c r="C27" s="8" t="s">
        <v>115</v>
      </c>
      <c r="D27" s="7" t="s">
        <v>116</v>
      </c>
      <c r="E27" s="7" t="n">
        <v>9586</v>
      </c>
      <c r="F27" s="9" t="s">
        <v>114</v>
      </c>
      <c r="G27" s="10" t="s">
        <v>117</v>
      </c>
      <c r="H27" s="9" t="s">
        <v>118</v>
      </c>
      <c r="I27" s="9" t="n">
        <v>155</v>
      </c>
      <c r="J27" s="9" t="n">
        <v>4515</v>
      </c>
      <c r="K27" s="11" t="n">
        <v>0.492</v>
      </c>
      <c r="L27" s="11" t="n">
        <v>1</v>
      </c>
      <c r="M27" s="9" t="n">
        <v>1</v>
      </c>
      <c r="N27" s="11" t="n">
        <v>0.775</v>
      </c>
      <c r="O27" s="11" t="n">
        <v>0.966</v>
      </c>
      <c r="P27" s="12"/>
      <c r="Q27" s="12"/>
      <c r="R27" s="12"/>
      <c r="S27" s="12"/>
      <c r="T27" s="9" t="s">
        <v>119</v>
      </c>
      <c r="U27" s="9" t="s">
        <v>117</v>
      </c>
    </row>
    <row r="28" customFormat="false" ht="15" hidden="false" customHeight="false" outlineLevel="0" collapsed="false">
      <c r="A28" s="9"/>
      <c r="B28" s="9"/>
      <c r="C28" s="9"/>
      <c r="D28" s="9"/>
      <c r="E28" s="9"/>
      <c r="F28" s="9" t="s">
        <v>120</v>
      </c>
      <c r="G28" s="10" t="s">
        <v>121</v>
      </c>
      <c r="H28" s="9" t="s">
        <v>122</v>
      </c>
      <c r="I28" s="9" t="n">
        <v>228</v>
      </c>
      <c r="J28" s="9" t="n">
        <v>6502</v>
      </c>
      <c r="K28" s="11" t="n">
        <v>0.709</v>
      </c>
      <c r="L28" s="11" t="n">
        <v>1</v>
      </c>
      <c r="M28" s="9" t="n">
        <v>1</v>
      </c>
      <c r="N28" s="11" t="n">
        <v>0.444</v>
      </c>
      <c r="O28" s="11" t="n">
        <v>0.917</v>
      </c>
      <c r="P28" s="12"/>
      <c r="Q28" s="12"/>
      <c r="R28" s="12"/>
      <c r="S28" s="12"/>
      <c r="T28" s="9" t="s">
        <v>119</v>
      </c>
      <c r="U28" s="9" t="s">
        <v>121</v>
      </c>
    </row>
    <row r="29" customFormat="false" ht="15" hidden="false" customHeight="false" outlineLevel="0" collapsed="false">
      <c r="A29" s="9"/>
      <c r="B29" s="9"/>
      <c r="C29" s="9"/>
      <c r="D29" s="9"/>
      <c r="E29" s="9"/>
      <c r="F29" s="9" t="s">
        <v>123</v>
      </c>
      <c r="G29" s="10" t="s">
        <v>124</v>
      </c>
      <c r="H29" s="9" t="s">
        <v>125</v>
      </c>
      <c r="I29" s="9" t="n">
        <v>89</v>
      </c>
      <c r="J29" s="9" t="n">
        <v>3528</v>
      </c>
      <c r="K29" s="11" t="n">
        <v>0.384</v>
      </c>
      <c r="L29" s="11" t="n">
        <v>1</v>
      </c>
      <c r="M29" s="9" t="n">
        <v>1</v>
      </c>
      <c r="N29" s="11" t="n">
        <v>0</v>
      </c>
      <c r="O29" s="11" t="n">
        <v>0.85</v>
      </c>
      <c r="P29" s="12"/>
      <c r="Q29" s="12"/>
      <c r="R29" s="12"/>
      <c r="S29" s="12"/>
      <c r="T29" s="9" t="s">
        <v>119</v>
      </c>
      <c r="U29" s="9" t="s">
        <v>124</v>
      </c>
    </row>
    <row r="30" customFormat="false" ht="15" hidden="false" customHeight="false" outlineLevel="0" collapsed="false">
      <c r="A30" s="9"/>
      <c r="B30" s="9"/>
      <c r="C30" s="9"/>
      <c r="D30" s="9"/>
      <c r="E30" s="9"/>
      <c r="F30" s="9" t="s">
        <v>126</v>
      </c>
      <c r="G30" s="10" t="s">
        <v>127</v>
      </c>
      <c r="H30" s="9" t="s">
        <v>128</v>
      </c>
      <c r="I30" s="9" t="n">
        <v>75</v>
      </c>
      <c r="J30" s="9" t="n">
        <v>2950</v>
      </c>
      <c r="K30" s="11" t="n">
        <v>0.321</v>
      </c>
      <c r="L30" s="11" t="n">
        <v>1</v>
      </c>
      <c r="M30" s="9" t="n">
        <v>0</v>
      </c>
      <c r="N30" s="11" t="n">
        <v>0.575</v>
      </c>
      <c r="O30" s="11" t="n">
        <v>0.636</v>
      </c>
      <c r="P30" s="12"/>
      <c r="Q30" s="12"/>
      <c r="R30" s="12"/>
      <c r="S30" s="12"/>
      <c r="T30" s="9" t="s">
        <v>119</v>
      </c>
      <c r="U30" s="9" t="s">
        <v>127</v>
      </c>
    </row>
    <row r="31" customFormat="false" ht="15" hidden="false" customHeight="false" outlineLevel="0" collapsed="false">
      <c r="A31" s="9"/>
      <c r="B31" s="9"/>
      <c r="C31" s="9"/>
      <c r="D31" s="9"/>
      <c r="E31" s="9"/>
      <c r="F31" s="9" t="s">
        <v>114</v>
      </c>
      <c r="G31" s="10" t="s">
        <v>129</v>
      </c>
      <c r="H31" s="9" t="s">
        <v>130</v>
      </c>
      <c r="I31" s="9" t="n">
        <v>37</v>
      </c>
      <c r="J31" s="9" t="n">
        <v>505</v>
      </c>
      <c r="K31" s="11" t="n">
        <v>0.055</v>
      </c>
      <c r="L31" s="11" t="n">
        <v>1</v>
      </c>
      <c r="M31" s="9" t="n">
        <v>0</v>
      </c>
      <c r="N31" s="11" t="n">
        <v>0.615</v>
      </c>
      <c r="O31" s="11" t="n">
        <v>0.592</v>
      </c>
      <c r="P31" s="12"/>
      <c r="Q31" s="12"/>
      <c r="R31" s="12"/>
      <c r="S31" s="12"/>
      <c r="T31" s="9" t="s">
        <v>119</v>
      </c>
      <c r="U31" s="9" t="s">
        <v>129</v>
      </c>
    </row>
    <row r="32" customFormat="false" ht="15" hidden="false" customHeight="false" outlineLevel="0" collapsed="false">
      <c r="A32" s="7" t="s">
        <v>43</v>
      </c>
      <c r="B32" s="7" t="s">
        <v>131</v>
      </c>
      <c r="C32" s="8" t="s">
        <v>132</v>
      </c>
      <c r="D32" s="7" t="s">
        <v>133</v>
      </c>
      <c r="E32" s="7" t="n">
        <v>12016</v>
      </c>
      <c r="F32" s="9" t="s">
        <v>131</v>
      </c>
      <c r="G32" s="10" t="s">
        <v>134</v>
      </c>
      <c r="H32" s="9" t="s">
        <v>132</v>
      </c>
      <c r="I32" s="9" t="n">
        <v>209</v>
      </c>
      <c r="J32" s="9" t="n">
        <v>8509</v>
      </c>
      <c r="K32" s="11" t="n">
        <v>0.785</v>
      </c>
      <c r="L32" s="11" t="n">
        <v>1</v>
      </c>
      <c r="M32" s="9" t="n">
        <v>1</v>
      </c>
      <c r="N32" s="11" t="n">
        <v>0.878</v>
      </c>
      <c r="O32" s="11" t="n">
        <v>0.982</v>
      </c>
      <c r="P32" s="12"/>
      <c r="Q32" s="12"/>
      <c r="R32" s="12"/>
      <c r="S32" s="12"/>
      <c r="T32" s="9" t="s">
        <v>135</v>
      </c>
      <c r="U32" s="9" t="s">
        <v>134</v>
      </c>
    </row>
    <row r="33" customFormat="false" ht="15" hidden="false" customHeight="false" outlineLevel="0" collapsed="false">
      <c r="A33" s="9"/>
      <c r="B33" s="9"/>
      <c r="C33" s="9"/>
      <c r="D33" s="9"/>
      <c r="E33" s="9"/>
      <c r="F33" s="9" t="s">
        <v>131</v>
      </c>
      <c r="G33" s="10" t="s">
        <v>136</v>
      </c>
      <c r="H33" s="9" t="s">
        <v>137</v>
      </c>
      <c r="I33" s="9" t="n">
        <v>11</v>
      </c>
      <c r="J33" s="9" t="n">
        <v>6</v>
      </c>
      <c r="K33" s="11" t="n">
        <v>0.001</v>
      </c>
      <c r="L33" s="11" t="n">
        <v>1</v>
      </c>
      <c r="M33" s="9" t="n">
        <v>1</v>
      </c>
      <c r="N33" s="11" t="n">
        <v>1</v>
      </c>
      <c r="O33" s="11" t="n">
        <v>0.9</v>
      </c>
      <c r="P33" s="12"/>
      <c r="Q33" s="12"/>
      <c r="R33" s="12"/>
      <c r="S33" s="12"/>
      <c r="T33" s="9" t="s">
        <v>135</v>
      </c>
      <c r="U33" s="9" t="s">
        <v>136</v>
      </c>
    </row>
    <row r="34" customFormat="false" ht="15" hidden="false" customHeight="false" outlineLevel="0" collapsed="false">
      <c r="A34" s="7" t="s">
        <v>43</v>
      </c>
      <c r="B34" s="7" t="s">
        <v>138</v>
      </c>
      <c r="C34" s="8" t="s">
        <v>65</v>
      </c>
      <c r="D34" s="7" t="s">
        <v>139</v>
      </c>
      <c r="E34" s="7" t="n">
        <v>526</v>
      </c>
      <c r="F34" s="9" t="s">
        <v>138</v>
      </c>
      <c r="G34" s="10" t="s">
        <v>140</v>
      </c>
      <c r="H34" s="9" t="s">
        <v>65</v>
      </c>
      <c r="I34" s="9" t="n">
        <v>20</v>
      </c>
      <c r="J34" s="9" t="n">
        <v>153</v>
      </c>
      <c r="K34" s="11" t="n">
        <v>0.291</v>
      </c>
      <c r="L34" s="11" t="n">
        <v>1</v>
      </c>
      <c r="M34" s="9" t="n">
        <v>1</v>
      </c>
      <c r="N34" s="11" t="n">
        <v>1</v>
      </c>
      <c r="O34" s="11" t="n">
        <v>1</v>
      </c>
      <c r="P34" s="12"/>
      <c r="Q34" s="12"/>
      <c r="R34" s="12"/>
      <c r="S34" s="12"/>
      <c r="T34" s="9" t="s">
        <v>141</v>
      </c>
      <c r="U34" s="9" t="s">
        <v>140</v>
      </c>
    </row>
    <row r="35" customFormat="false" ht="15" hidden="false" customHeight="false" outlineLevel="0" collapsed="false">
      <c r="A35" s="9"/>
      <c r="B35" s="9"/>
      <c r="C35" s="9"/>
      <c r="D35" s="9"/>
      <c r="E35" s="9"/>
      <c r="F35" s="9" t="s">
        <v>138</v>
      </c>
      <c r="G35" s="10" t="s">
        <v>142</v>
      </c>
      <c r="H35" s="9" t="s">
        <v>143</v>
      </c>
      <c r="I35" s="9" t="n">
        <v>224</v>
      </c>
      <c r="J35" s="9" t="n">
        <v>7476</v>
      </c>
      <c r="K35" s="11" t="n">
        <v>14.213</v>
      </c>
      <c r="L35" s="11" t="n">
        <v>1</v>
      </c>
      <c r="M35" s="9" t="n">
        <v>1</v>
      </c>
      <c r="N35" s="11" t="n">
        <v>1</v>
      </c>
      <c r="O35" s="11" t="n">
        <v>0.9</v>
      </c>
      <c r="P35" s="12"/>
      <c r="Q35" s="12"/>
      <c r="R35" s="12"/>
      <c r="S35" s="12"/>
      <c r="T35" s="9" t="s">
        <v>141</v>
      </c>
      <c r="U35" s="9" t="s">
        <v>142</v>
      </c>
    </row>
    <row r="36" customFormat="false" ht="15" hidden="false" customHeight="false" outlineLevel="0" collapsed="false">
      <c r="A36" s="9"/>
      <c r="B36" s="9"/>
      <c r="C36" s="9"/>
      <c r="D36" s="9"/>
      <c r="E36" s="9"/>
      <c r="F36" s="9" t="s">
        <v>138</v>
      </c>
      <c r="G36" s="10" t="s">
        <v>144</v>
      </c>
      <c r="H36" s="9" t="s">
        <v>145</v>
      </c>
      <c r="I36" s="9" t="n">
        <v>59</v>
      </c>
      <c r="J36" s="9" t="n">
        <v>643</v>
      </c>
      <c r="K36" s="11" t="n">
        <v>1.222</v>
      </c>
      <c r="L36" s="11" t="n">
        <v>1</v>
      </c>
      <c r="M36" s="9" t="n">
        <v>1</v>
      </c>
      <c r="N36" s="11" t="n">
        <v>0.184</v>
      </c>
      <c r="O36" s="11" t="n">
        <v>0.878</v>
      </c>
      <c r="P36" s="12"/>
      <c r="Q36" s="12"/>
      <c r="R36" s="12"/>
      <c r="S36" s="12"/>
      <c r="T36" s="9" t="s">
        <v>141</v>
      </c>
      <c r="U36" s="9" t="s">
        <v>144</v>
      </c>
    </row>
    <row r="37" customFormat="false" ht="15" hidden="false" customHeight="false" outlineLevel="0" collapsed="false">
      <c r="A37" s="9"/>
      <c r="B37" s="9"/>
      <c r="C37" s="9"/>
      <c r="D37" s="9"/>
      <c r="E37" s="9"/>
      <c r="F37" s="9" t="s">
        <v>138</v>
      </c>
      <c r="G37" s="10" t="s">
        <v>146</v>
      </c>
      <c r="H37" s="9" t="s">
        <v>65</v>
      </c>
      <c r="I37" s="9" t="n">
        <v>2</v>
      </c>
      <c r="J37" s="9" t="n">
        <v>37</v>
      </c>
      <c r="K37" s="11" t="n">
        <v>0.07</v>
      </c>
      <c r="L37" s="11" t="n">
        <v>1</v>
      </c>
      <c r="M37" s="9" t="n">
        <v>1</v>
      </c>
      <c r="N37" s="11" t="n">
        <v>0.4</v>
      </c>
      <c r="O37" s="11" t="n">
        <v>0.86</v>
      </c>
      <c r="P37" s="12"/>
      <c r="Q37" s="12"/>
      <c r="R37" s="12"/>
      <c r="S37" s="12"/>
      <c r="T37" s="9" t="s">
        <v>141</v>
      </c>
      <c r="U37" s="9" t="s">
        <v>146</v>
      </c>
    </row>
    <row r="38" customFormat="false" ht="15" hidden="false" customHeight="false" outlineLevel="0" collapsed="false">
      <c r="A38" s="9"/>
      <c r="B38" s="9"/>
      <c r="C38" s="9"/>
      <c r="D38" s="9"/>
      <c r="E38" s="9"/>
      <c r="F38" s="9" t="s">
        <v>138</v>
      </c>
      <c r="G38" s="10" t="s">
        <v>147</v>
      </c>
      <c r="H38" s="9" t="s">
        <v>148</v>
      </c>
      <c r="I38" s="9" t="n">
        <v>8</v>
      </c>
      <c r="J38" s="9" t="n">
        <v>267</v>
      </c>
      <c r="K38" s="11" t="n">
        <v>0.508</v>
      </c>
      <c r="L38" s="11" t="n">
        <v>1</v>
      </c>
      <c r="M38" s="9" t="n">
        <v>0</v>
      </c>
      <c r="N38" s="11" t="n">
        <v>1</v>
      </c>
      <c r="O38" s="11" t="n">
        <v>0.7</v>
      </c>
      <c r="P38" s="12"/>
      <c r="Q38" s="12"/>
      <c r="R38" s="12"/>
      <c r="S38" s="12"/>
      <c r="T38" s="9" t="s">
        <v>141</v>
      </c>
      <c r="U38" s="9" t="s">
        <v>147</v>
      </c>
    </row>
    <row r="39" customFormat="false" ht="15" hidden="false" customHeight="false" outlineLevel="0" collapsed="false">
      <c r="A39" s="7" t="s">
        <v>43</v>
      </c>
      <c r="B39" s="7" t="s">
        <v>149</v>
      </c>
      <c r="C39" s="8" t="s">
        <v>150</v>
      </c>
      <c r="D39" s="7" t="s">
        <v>151</v>
      </c>
      <c r="E39" s="7" t="n">
        <v>4501</v>
      </c>
      <c r="F39" s="9" t="s">
        <v>149</v>
      </c>
      <c r="G39" s="10" t="s">
        <v>152</v>
      </c>
      <c r="H39" s="9" t="s">
        <v>153</v>
      </c>
      <c r="I39" s="9" t="n">
        <v>149</v>
      </c>
      <c r="J39" s="9" t="n">
        <v>1748</v>
      </c>
      <c r="K39" s="11" t="n">
        <v>0.407</v>
      </c>
      <c r="L39" s="11" t="n">
        <v>1</v>
      </c>
      <c r="M39" s="9" t="n">
        <v>1</v>
      </c>
      <c r="N39" s="11" t="n">
        <v>0.818</v>
      </c>
      <c r="O39" s="11" t="n">
        <v>0.973</v>
      </c>
      <c r="P39" s="12"/>
      <c r="Q39" s="12"/>
      <c r="R39" s="12"/>
      <c r="S39" s="12"/>
      <c r="T39" s="9" t="s">
        <v>154</v>
      </c>
      <c r="U39" s="9" t="s">
        <v>152</v>
      </c>
    </row>
    <row r="40" customFormat="false" ht="15" hidden="false" customHeight="false" outlineLevel="0" collapsed="false">
      <c r="A40" s="9"/>
      <c r="B40" s="9"/>
      <c r="C40" s="9"/>
      <c r="D40" s="9"/>
      <c r="E40" s="9"/>
      <c r="F40" s="9" t="s">
        <v>149</v>
      </c>
      <c r="G40" s="10" t="s">
        <v>155</v>
      </c>
      <c r="H40" s="9" t="s">
        <v>156</v>
      </c>
      <c r="I40" s="9" t="n">
        <v>179</v>
      </c>
      <c r="J40" s="9" t="n">
        <v>2484</v>
      </c>
      <c r="K40" s="11" t="n">
        <v>0.579</v>
      </c>
      <c r="L40" s="11" t="n">
        <v>1</v>
      </c>
      <c r="M40" s="9" t="n">
        <v>1</v>
      </c>
      <c r="N40" s="11" t="n">
        <v>0.698</v>
      </c>
      <c r="O40" s="11" t="n">
        <v>0.955</v>
      </c>
      <c r="P40" s="12"/>
      <c r="Q40" s="12"/>
      <c r="R40" s="12"/>
      <c r="S40" s="12"/>
      <c r="T40" s="9" t="s">
        <v>154</v>
      </c>
      <c r="U40" s="9" t="s">
        <v>155</v>
      </c>
    </row>
    <row r="41" customFormat="false" ht="15" hidden="false" customHeight="false" outlineLevel="0" collapsed="false">
      <c r="A41" s="9"/>
      <c r="B41" s="9"/>
      <c r="C41" s="9"/>
      <c r="D41" s="9"/>
      <c r="E41" s="9"/>
      <c r="F41" s="9" t="s">
        <v>157</v>
      </c>
      <c r="G41" s="10" t="s">
        <v>158</v>
      </c>
      <c r="H41" s="9"/>
      <c r="I41" s="9" t="n">
        <v>38</v>
      </c>
      <c r="J41" s="9" t="n">
        <v>1819</v>
      </c>
      <c r="K41" s="11" t="n">
        <v>0.424</v>
      </c>
      <c r="L41" s="11" t="n">
        <v>1</v>
      </c>
      <c r="M41" s="9" t="n">
        <v>0</v>
      </c>
      <c r="N41" s="11" t="n">
        <v>1</v>
      </c>
      <c r="O41" s="11" t="n">
        <v>0.7</v>
      </c>
      <c r="P41" s="12"/>
      <c r="Q41" s="12"/>
      <c r="R41" s="12"/>
      <c r="S41" s="12"/>
      <c r="T41" s="9" t="s">
        <v>154</v>
      </c>
      <c r="U41" s="9" t="s">
        <v>158</v>
      </c>
    </row>
    <row r="42" customFormat="false" ht="15" hidden="false" customHeight="false" outlineLevel="0" collapsed="false">
      <c r="A42" s="9"/>
      <c r="B42" s="9"/>
      <c r="C42" s="9"/>
      <c r="D42" s="9"/>
      <c r="E42" s="9"/>
      <c r="F42" s="9" t="s">
        <v>159</v>
      </c>
      <c r="G42" s="10" t="s">
        <v>160</v>
      </c>
      <c r="H42" s="9" t="s">
        <v>161</v>
      </c>
      <c r="I42" s="9" t="n">
        <v>44</v>
      </c>
      <c r="J42" s="9" t="n">
        <v>524</v>
      </c>
      <c r="K42" s="11" t="n">
        <v>0.122</v>
      </c>
      <c r="L42" s="11" t="n">
        <v>1</v>
      </c>
      <c r="M42" s="9" t="n">
        <v>0</v>
      </c>
      <c r="N42" s="11" t="n">
        <v>1</v>
      </c>
      <c r="O42" s="11" t="n">
        <v>0.7</v>
      </c>
      <c r="P42" s="12"/>
      <c r="Q42" s="12"/>
      <c r="R42" s="12"/>
      <c r="S42" s="12"/>
      <c r="T42" s="9" t="s">
        <v>154</v>
      </c>
      <c r="U42" s="9" t="s">
        <v>160</v>
      </c>
    </row>
    <row r="43" customFormat="false" ht="15" hidden="false" customHeight="false" outlineLevel="0" collapsed="false">
      <c r="A43" s="9"/>
      <c r="B43" s="9"/>
      <c r="C43" s="9"/>
      <c r="D43" s="9"/>
      <c r="E43" s="9"/>
      <c r="F43" s="9" t="s">
        <v>149</v>
      </c>
      <c r="G43" s="10" t="s">
        <v>162</v>
      </c>
      <c r="H43" s="9" t="s">
        <v>163</v>
      </c>
      <c r="I43" s="9" t="n">
        <v>4</v>
      </c>
      <c r="J43" s="9" t="n">
        <v>178</v>
      </c>
      <c r="K43" s="11" t="n">
        <v>0.041</v>
      </c>
      <c r="L43" s="11" t="n">
        <v>1</v>
      </c>
      <c r="M43" s="9" t="n">
        <v>0</v>
      </c>
      <c r="N43" s="11" t="n">
        <v>0.857</v>
      </c>
      <c r="O43" s="11" t="n">
        <v>0.629</v>
      </c>
      <c r="P43" s="12"/>
      <c r="Q43" s="12"/>
      <c r="R43" s="12"/>
      <c r="S43" s="12"/>
      <c r="T43" s="9" t="s">
        <v>154</v>
      </c>
      <c r="U43" s="9" t="s">
        <v>162</v>
      </c>
    </row>
    <row r="44" customFormat="false" ht="15" hidden="false" customHeight="false" outlineLevel="0" collapsed="false">
      <c r="A44" s="7" t="s">
        <v>43</v>
      </c>
      <c r="B44" s="7" t="s">
        <v>164</v>
      </c>
      <c r="C44" s="8" t="s">
        <v>165</v>
      </c>
      <c r="D44" s="7" t="s">
        <v>166</v>
      </c>
      <c r="E44" s="7" t="n">
        <v>2223</v>
      </c>
      <c r="F44" s="9" t="s">
        <v>164</v>
      </c>
      <c r="G44" s="10" t="s">
        <v>167</v>
      </c>
      <c r="H44" s="9" t="s">
        <v>168</v>
      </c>
      <c r="I44" s="9" t="n">
        <v>47</v>
      </c>
      <c r="J44" s="9" t="n">
        <v>1452</v>
      </c>
      <c r="K44" s="11" t="n">
        <v>0.653</v>
      </c>
      <c r="L44" s="11" t="n">
        <v>1</v>
      </c>
      <c r="M44" s="9" t="n">
        <v>1</v>
      </c>
      <c r="N44" s="11" t="n">
        <v>0.767</v>
      </c>
      <c r="O44" s="11" t="n">
        <v>0.965</v>
      </c>
      <c r="P44" s="12"/>
      <c r="Q44" s="12"/>
      <c r="R44" s="12"/>
      <c r="S44" s="12"/>
      <c r="T44" s="9" t="s">
        <v>169</v>
      </c>
      <c r="U44" s="9" t="s">
        <v>167</v>
      </c>
    </row>
    <row r="45" customFormat="false" ht="15" hidden="false" customHeight="false" outlineLevel="0" collapsed="false">
      <c r="A45" s="9"/>
      <c r="B45" s="9"/>
      <c r="C45" s="9"/>
      <c r="D45" s="9"/>
      <c r="E45" s="9"/>
      <c r="F45" s="9" t="s">
        <v>164</v>
      </c>
      <c r="G45" s="10" t="s">
        <v>170</v>
      </c>
      <c r="H45" s="9" t="s">
        <v>171</v>
      </c>
      <c r="I45" s="9" t="n">
        <v>11</v>
      </c>
      <c r="J45" s="9" t="n">
        <v>57</v>
      </c>
      <c r="K45" s="11" t="n">
        <v>0.026</v>
      </c>
      <c r="L45" s="11" t="n">
        <v>1</v>
      </c>
      <c r="M45" s="9" t="n">
        <v>1</v>
      </c>
      <c r="N45" s="11" t="n">
        <v>0.786</v>
      </c>
      <c r="O45" s="11" t="n">
        <v>0.868</v>
      </c>
      <c r="P45" s="12"/>
      <c r="Q45" s="12"/>
      <c r="R45" s="12"/>
      <c r="S45" s="12"/>
      <c r="T45" s="9" t="s">
        <v>169</v>
      </c>
      <c r="U45" s="9" t="s">
        <v>170</v>
      </c>
    </row>
    <row r="46" customFormat="false" ht="15" hidden="false" customHeight="false" outlineLevel="0" collapsed="false">
      <c r="A46" s="9"/>
      <c r="B46" s="9"/>
      <c r="C46" s="9"/>
      <c r="D46" s="9"/>
      <c r="E46" s="9"/>
      <c r="F46" s="9" t="s">
        <v>164</v>
      </c>
      <c r="G46" s="10" t="s">
        <v>172</v>
      </c>
      <c r="H46" s="9" t="s">
        <v>168</v>
      </c>
      <c r="I46" s="9" t="n">
        <v>6</v>
      </c>
      <c r="J46" s="9" t="n">
        <v>36</v>
      </c>
      <c r="K46" s="11" t="n">
        <v>0.016</v>
      </c>
      <c r="L46" s="11" t="n">
        <v>1</v>
      </c>
      <c r="M46" s="9" t="n">
        <v>1</v>
      </c>
      <c r="N46" s="11" t="n">
        <v>0.545</v>
      </c>
      <c r="O46" s="11" t="n">
        <v>0.832</v>
      </c>
      <c r="P46" s="12"/>
      <c r="Q46" s="12"/>
      <c r="R46" s="12"/>
      <c r="S46" s="12"/>
      <c r="T46" s="9" t="s">
        <v>169</v>
      </c>
      <c r="U46" s="9" t="s">
        <v>172</v>
      </c>
    </row>
    <row r="47" customFormat="false" ht="15" hidden="false" customHeight="false" outlineLevel="0" collapsed="false">
      <c r="A47" s="9"/>
      <c r="B47" s="9"/>
      <c r="C47" s="9"/>
      <c r="D47" s="9"/>
      <c r="E47" s="9"/>
      <c r="F47" s="9" t="s">
        <v>164</v>
      </c>
      <c r="G47" s="10" t="s">
        <v>173</v>
      </c>
      <c r="H47" s="9" t="s">
        <v>171</v>
      </c>
      <c r="I47" s="9" t="n">
        <v>1</v>
      </c>
      <c r="J47" s="9" t="n">
        <v>1</v>
      </c>
      <c r="K47" s="11" t="n">
        <v>0</v>
      </c>
      <c r="L47" s="11" t="n">
        <v>1</v>
      </c>
      <c r="M47" s="9" t="n">
        <v>0.5</v>
      </c>
      <c r="N47" s="11" t="n">
        <v>0.667</v>
      </c>
      <c r="O47" s="11" t="n">
        <v>0.7</v>
      </c>
      <c r="P47" s="12"/>
      <c r="Q47" s="12"/>
      <c r="R47" s="12"/>
      <c r="S47" s="12"/>
      <c r="T47" s="9" t="s">
        <v>169</v>
      </c>
      <c r="U47" s="9" t="s">
        <v>173</v>
      </c>
    </row>
    <row r="48" customFormat="false" ht="15" hidden="false" customHeight="false" outlineLevel="0" collapsed="false">
      <c r="A48" s="9"/>
      <c r="B48" s="9"/>
      <c r="C48" s="9"/>
      <c r="D48" s="9"/>
      <c r="E48" s="9"/>
      <c r="F48" s="9" t="s">
        <v>164</v>
      </c>
      <c r="G48" s="10" t="s">
        <v>174</v>
      </c>
      <c r="H48" s="9" t="s">
        <v>171</v>
      </c>
      <c r="I48" s="9" t="n">
        <v>1</v>
      </c>
      <c r="J48" s="9" t="n">
        <v>0</v>
      </c>
      <c r="K48" s="11" t="n">
        <v>0</v>
      </c>
      <c r="L48" s="11" t="n">
        <v>1</v>
      </c>
      <c r="M48" s="9" t="n">
        <v>0.5</v>
      </c>
      <c r="N48" s="11" t="n">
        <v>0.667</v>
      </c>
      <c r="O48" s="11" t="n">
        <v>0.7</v>
      </c>
      <c r="P48" s="12"/>
      <c r="Q48" s="12"/>
      <c r="R48" s="12"/>
      <c r="S48" s="12"/>
      <c r="T48" s="9" t="s">
        <v>169</v>
      </c>
      <c r="U48" s="9" t="s">
        <v>174</v>
      </c>
    </row>
    <row r="49" customFormat="false" ht="15" hidden="false" customHeight="false" outlineLevel="0" collapsed="false">
      <c r="A49" s="7" t="s">
        <v>43</v>
      </c>
      <c r="B49" s="7" t="s">
        <v>175</v>
      </c>
      <c r="C49" s="8" t="s">
        <v>165</v>
      </c>
      <c r="D49" s="7" t="s">
        <v>176</v>
      </c>
      <c r="E49" s="7" t="n">
        <v>1110</v>
      </c>
      <c r="F49" s="9" t="s">
        <v>175</v>
      </c>
      <c r="G49" s="10" t="s">
        <v>177</v>
      </c>
      <c r="H49" s="9" t="s">
        <v>178</v>
      </c>
      <c r="I49" s="9" t="n">
        <v>39</v>
      </c>
      <c r="J49" s="9" t="n">
        <v>480</v>
      </c>
      <c r="K49" s="11" t="n">
        <v>0.65</v>
      </c>
      <c r="L49" s="11" t="n">
        <v>1</v>
      </c>
      <c r="M49" s="9" t="n">
        <v>1</v>
      </c>
      <c r="N49" s="11" t="n">
        <v>0.875</v>
      </c>
      <c r="O49" s="11" t="n">
        <v>0.981</v>
      </c>
      <c r="P49" s="12"/>
      <c r="Q49" s="12"/>
      <c r="R49" s="12"/>
      <c r="S49" s="12"/>
      <c r="T49" s="9" t="s">
        <v>179</v>
      </c>
      <c r="U49" s="9" t="s">
        <v>177</v>
      </c>
    </row>
    <row r="50" customFormat="false" ht="15" hidden="false" customHeight="false" outlineLevel="0" collapsed="false">
      <c r="A50" s="9"/>
      <c r="B50" s="9"/>
      <c r="C50" s="9"/>
      <c r="D50" s="9"/>
      <c r="E50" s="9"/>
      <c r="F50" s="9" t="s">
        <v>175</v>
      </c>
      <c r="G50" s="10" t="s">
        <v>180</v>
      </c>
      <c r="H50" s="9" t="s">
        <v>181</v>
      </c>
      <c r="I50" s="9" t="n">
        <v>495</v>
      </c>
      <c r="J50" s="9" t="n">
        <v>8409</v>
      </c>
      <c r="K50" s="11" t="n">
        <v>11.394</v>
      </c>
      <c r="L50" s="11" t="n">
        <v>1</v>
      </c>
      <c r="M50" s="9" t="n">
        <v>1</v>
      </c>
      <c r="N50" s="11" t="n">
        <v>0.879</v>
      </c>
      <c r="O50" s="11" t="n">
        <v>0.882</v>
      </c>
      <c r="P50" s="12"/>
      <c r="Q50" s="12"/>
      <c r="R50" s="12"/>
      <c r="S50" s="12"/>
      <c r="T50" s="9" t="s">
        <v>179</v>
      </c>
      <c r="U50" s="9" t="s">
        <v>180</v>
      </c>
    </row>
    <row r="51" customFormat="false" ht="15" hidden="false" customHeight="false" outlineLevel="0" collapsed="false">
      <c r="A51" s="9"/>
      <c r="B51" s="9"/>
      <c r="C51" s="9"/>
      <c r="D51" s="9"/>
      <c r="E51" s="9"/>
      <c r="F51" s="9" t="s">
        <v>175</v>
      </c>
      <c r="G51" s="10" t="s">
        <v>182</v>
      </c>
      <c r="H51" s="9"/>
      <c r="I51" s="9" t="n">
        <v>7</v>
      </c>
      <c r="J51" s="9" t="n">
        <v>23</v>
      </c>
      <c r="K51" s="11" t="n">
        <v>0.031</v>
      </c>
      <c r="L51" s="11" t="n">
        <v>1</v>
      </c>
      <c r="M51" s="9" t="n">
        <v>0</v>
      </c>
      <c r="N51" s="11" t="n">
        <v>0.875</v>
      </c>
      <c r="O51" s="11" t="n">
        <v>0.631</v>
      </c>
      <c r="P51" s="12"/>
      <c r="Q51" s="12"/>
      <c r="R51" s="12"/>
      <c r="S51" s="12"/>
      <c r="T51" s="9" t="s">
        <v>179</v>
      </c>
      <c r="U51" s="9" t="s">
        <v>182</v>
      </c>
    </row>
    <row r="52" customFormat="false" ht="15" hidden="false" customHeight="false" outlineLevel="0" collapsed="false">
      <c r="A52" s="9"/>
      <c r="B52" s="9"/>
      <c r="C52" s="9"/>
      <c r="D52" s="9"/>
      <c r="E52" s="9"/>
      <c r="F52" s="9" t="s">
        <v>175</v>
      </c>
      <c r="G52" s="10" t="s">
        <v>183</v>
      </c>
      <c r="H52" s="9" t="s">
        <v>184</v>
      </c>
      <c r="I52" s="9" t="n">
        <v>36</v>
      </c>
      <c r="J52" s="9" t="n">
        <v>513</v>
      </c>
      <c r="K52" s="11" t="n">
        <v>0.695</v>
      </c>
      <c r="L52" s="11" t="n">
        <v>1</v>
      </c>
      <c r="M52" s="9" t="n">
        <v>0</v>
      </c>
      <c r="N52" s="11" t="n">
        <v>0.463</v>
      </c>
      <c r="O52" s="11" t="n">
        <v>0.619</v>
      </c>
      <c r="P52" s="12"/>
      <c r="Q52" s="12"/>
      <c r="R52" s="12"/>
      <c r="S52" s="12"/>
      <c r="T52" s="9" t="s">
        <v>179</v>
      </c>
      <c r="U52" s="9" t="s">
        <v>183</v>
      </c>
    </row>
    <row r="53" customFormat="false" ht="15" hidden="false" customHeight="false" outlineLevel="0" collapsed="false">
      <c r="A53" s="9"/>
      <c r="B53" s="9"/>
      <c r="C53" s="9"/>
      <c r="D53" s="9"/>
      <c r="E53" s="9"/>
      <c r="F53" s="9" t="s">
        <v>175</v>
      </c>
      <c r="G53" s="10" t="s">
        <v>185</v>
      </c>
      <c r="H53" s="9" t="s">
        <v>186</v>
      </c>
      <c r="I53" s="9" t="n">
        <v>1</v>
      </c>
      <c r="J53" s="9" t="n">
        <v>1</v>
      </c>
      <c r="K53" s="11" t="n">
        <v>0.001</v>
      </c>
      <c r="L53" s="11" t="n">
        <v>1</v>
      </c>
      <c r="M53" s="9" t="n">
        <v>0</v>
      </c>
      <c r="N53" s="11" t="n">
        <v>1</v>
      </c>
      <c r="O53" s="11" t="n">
        <v>0.6</v>
      </c>
      <c r="P53" s="12"/>
      <c r="Q53" s="12"/>
      <c r="R53" s="12"/>
      <c r="S53" s="12"/>
      <c r="T53" s="9" t="s">
        <v>179</v>
      </c>
      <c r="U53" s="9" t="s">
        <v>185</v>
      </c>
    </row>
    <row r="54" customFormat="false" ht="15" hidden="false" customHeight="false" outlineLevel="0" collapsed="false">
      <c r="A54" s="7" t="s">
        <v>43</v>
      </c>
      <c r="B54" s="7" t="s">
        <v>187</v>
      </c>
      <c r="C54" s="8" t="s">
        <v>188</v>
      </c>
      <c r="D54" s="7" t="s">
        <v>189</v>
      </c>
      <c r="E54" s="7" t="n">
        <v>5970</v>
      </c>
      <c r="F54" s="9" t="s">
        <v>190</v>
      </c>
      <c r="G54" s="10" t="s">
        <v>191</v>
      </c>
      <c r="H54" s="9" t="s">
        <v>192</v>
      </c>
      <c r="I54" s="9" t="n">
        <v>181</v>
      </c>
      <c r="J54" s="9" t="n">
        <v>2759</v>
      </c>
      <c r="K54" s="11" t="n">
        <v>0.479</v>
      </c>
      <c r="L54" s="11" t="n">
        <v>1</v>
      </c>
      <c r="M54" s="9" t="n">
        <v>1</v>
      </c>
      <c r="N54" s="11" t="n">
        <v>1</v>
      </c>
      <c r="O54" s="11" t="n">
        <v>1</v>
      </c>
      <c r="P54" s="12"/>
      <c r="Q54" s="12"/>
      <c r="R54" s="12"/>
      <c r="S54" s="12"/>
      <c r="T54" s="9" t="s">
        <v>193</v>
      </c>
      <c r="U54" s="9" t="s">
        <v>191</v>
      </c>
    </row>
    <row r="55" customFormat="false" ht="15" hidden="false" customHeight="false" outlineLevel="0" collapsed="false">
      <c r="A55" s="9"/>
      <c r="B55" s="9"/>
      <c r="C55" s="9"/>
      <c r="D55" s="9"/>
      <c r="E55" s="9"/>
      <c r="F55" s="9" t="s">
        <v>187</v>
      </c>
      <c r="G55" s="10" t="s">
        <v>194</v>
      </c>
      <c r="H55" s="9" t="s">
        <v>188</v>
      </c>
      <c r="I55" s="9" t="n">
        <v>39</v>
      </c>
      <c r="J55" s="9" t="n">
        <v>111</v>
      </c>
      <c r="K55" s="11" t="n">
        <v>0.019</v>
      </c>
      <c r="L55" s="11" t="n">
        <v>1</v>
      </c>
      <c r="M55" s="9" t="n">
        <v>1</v>
      </c>
      <c r="N55" s="11" t="n">
        <v>0.707</v>
      </c>
      <c r="O55" s="11" t="n">
        <v>0.856</v>
      </c>
      <c r="P55" s="12"/>
      <c r="Q55" s="12"/>
      <c r="R55" s="12"/>
      <c r="S55" s="12"/>
      <c r="T55" s="9" t="s">
        <v>193</v>
      </c>
      <c r="U55" s="9" t="s">
        <v>194</v>
      </c>
    </row>
    <row r="56" customFormat="false" ht="15" hidden="false" customHeight="false" outlineLevel="0" collapsed="false">
      <c r="A56" s="9"/>
      <c r="B56" s="9"/>
      <c r="C56" s="9"/>
      <c r="D56" s="9"/>
      <c r="E56" s="9"/>
      <c r="F56" s="9" t="s">
        <v>195</v>
      </c>
      <c r="G56" s="10" t="s">
        <v>196</v>
      </c>
      <c r="H56" s="9"/>
      <c r="I56" s="9" t="n">
        <v>218</v>
      </c>
      <c r="J56" s="9" t="n">
        <v>7118</v>
      </c>
      <c r="K56" s="11" t="n">
        <v>1.236</v>
      </c>
      <c r="L56" s="11" t="n">
        <v>1</v>
      </c>
      <c r="M56" s="9" t="n">
        <v>0</v>
      </c>
      <c r="N56" s="11" t="n">
        <v>1</v>
      </c>
      <c r="O56" s="11" t="n">
        <v>0.7</v>
      </c>
      <c r="P56" s="12"/>
      <c r="Q56" s="12"/>
      <c r="R56" s="12"/>
      <c r="S56" s="12"/>
      <c r="T56" s="9" t="s">
        <v>193</v>
      </c>
      <c r="U56" s="9" t="s">
        <v>196</v>
      </c>
    </row>
    <row r="57" customFormat="false" ht="15" hidden="false" customHeight="false" outlineLevel="0" collapsed="false">
      <c r="A57" s="9"/>
      <c r="B57" s="9"/>
      <c r="C57" s="9"/>
      <c r="D57" s="9"/>
      <c r="E57" s="9"/>
      <c r="F57" s="9" t="s">
        <v>197</v>
      </c>
      <c r="G57" s="10" t="s">
        <v>198</v>
      </c>
      <c r="H57" s="9"/>
      <c r="I57" s="9" t="n">
        <v>17</v>
      </c>
      <c r="J57" s="9" t="n">
        <v>290</v>
      </c>
      <c r="K57" s="11" t="n">
        <v>0.05</v>
      </c>
      <c r="L57" s="11" t="n">
        <v>1</v>
      </c>
      <c r="M57" s="9" t="n">
        <v>0</v>
      </c>
      <c r="N57" s="11" t="n">
        <v>0.857</v>
      </c>
      <c r="O57" s="11" t="n">
        <v>0.629</v>
      </c>
      <c r="P57" s="12"/>
      <c r="Q57" s="12"/>
      <c r="R57" s="12"/>
      <c r="S57" s="12"/>
      <c r="T57" s="9" t="s">
        <v>193</v>
      </c>
      <c r="U57" s="9" t="s">
        <v>198</v>
      </c>
    </row>
    <row r="58" customFormat="false" ht="15" hidden="false" customHeight="false" outlineLevel="0" collapsed="false">
      <c r="A58" s="9"/>
      <c r="B58" s="9"/>
      <c r="C58" s="9"/>
      <c r="D58" s="9"/>
      <c r="E58" s="9"/>
      <c r="F58" s="9" t="s">
        <v>199</v>
      </c>
      <c r="G58" s="10" t="s">
        <v>200</v>
      </c>
      <c r="H58" s="9" t="s">
        <v>201</v>
      </c>
      <c r="I58" s="9" t="n">
        <v>16</v>
      </c>
      <c r="J58" s="9" t="n">
        <v>400</v>
      </c>
      <c r="K58" s="11" t="n">
        <v>0.069</v>
      </c>
      <c r="L58" s="11" t="n">
        <v>1</v>
      </c>
      <c r="M58" s="9" t="n">
        <v>0</v>
      </c>
      <c r="N58" s="11" t="n">
        <v>0.7</v>
      </c>
      <c r="O58" s="11" t="n">
        <v>0.605</v>
      </c>
      <c r="P58" s="12"/>
      <c r="Q58" s="12"/>
      <c r="R58" s="12"/>
      <c r="S58" s="12"/>
      <c r="T58" s="9" t="s">
        <v>193</v>
      </c>
      <c r="U58" s="9" t="s">
        <v>200</v>
      </c>
    </row>
    <row r="59" customFormat="false" ht="15" hidden="false" customHeight="false" outlineLevel="0" collapsed="false">
      <c r="A59" s="7" t="s">
        <v>43</v>
      </c>
      <c r="B59" s="7" t="s">
        <v>202</v>
      </c>
      <c r="C59" s="8" t="s">
        <v>203</v>
      </c>
      <c r="D59" s="7" t="s">
        <v>204</v>
      </c>
      <c r="E59" s="7" t="n">
        <v>1790</v>
      </c>
      <c r="F59" s="9" t="s">
        <v>205</v>
      </c>
      <c r="G59" s="10" t="s">
        <v>206</v>
      </c>
      <c r="H59" s="9"/>
      <c r="I59" s="9" t="n">
        <v>82</v>
      </c>
      <c r="J59" s="9" t="n">
        <v>686</v>
      </c>
      <c r="K59" s="11" t="n">
        <v>0.442</v>
      </c>
      <c r="L59" s="11" t="n">
        <v>1</v>
      </c>
      <c r="M59" s="9" t="n">
        <v>1</v>
      </c>
      <c r="N59" s="11" t="n">
        <v>0.641</v>
      </c>
      <c r="O59" s="11" t="n">
        <v>0.946</v>
      </c>
      <c r="P59" s="12"/>
      <c r="Q59" s="12"/>
      <c r="R59" s="12"/>
      <c r="S59" s="12"/>
      <c r="T59" s="9" t="s">
        <v>207</v>
      </c>
      <c r="U59" s="9" t="s">
        <v>206</v>
      </c>
    </row>
    <row r="60" customFormat="false" ht="15" hidden="false" customHeight="false" outlineLevel="0" collapsed="false">
      <c r="A60" s="9"/>
      <c r="B60" s="9"/>
      <c r="C60" s="9"/>
      <c r="D60" s="9"/>
      <c r="E60" s="9"/>
      <c r="F60" s="9" t="s">
        <v>208</v>
      </c>
      <c r="G60" s="10" t="s">
        <v>209</v>
      </c>
      <c r="H60" s="9" t="s">
        <v>210</v>
      </c>
      <c r="I60" s="9" t="n">
        <v>68</v>
      </c>
      <c r="J60" s="9" t="n">
        <v>804</v>
      </c>
      <c r="K60" s="11" t="n">
        <v>0.518</v>
      </c>
      <c r="L60" s="11" t="n">
        <v>1</v>
      </c>
      <c r="M60" s="9" t="n">
        <v>0.5</v>
      </c>
      <c r="N60" s="11" t="n">
        <v>1</v>
      </c>
      <c r="O60" s="11" t="n">
        <v>0.85</v>
      </c>
      <c r="P60" s="12"/>
      <c r="Q60" s="12"/>
      <c r="R60" s="12"/>
      <c r="S60" s="12"/>
      <c r="T60" s="9" t="s">
        <v>207</v>
      </c>
      <c r="U60" s="9" t="s">
        <v>209</v>
      </c>
    </row>
    <row r="61" customFormat="false" ht="15" hidden="false" customHeight="false" outlineLevel="0" collapsed="false">
      <c r="A61" s="9"/>
      <c r="B61" s="9"/>
      <c r="C61" s="9"/>
      <c r="D61" s="9"/>
      <c r="E61" s="9"/>
      <c r="F61" s="9" t="s">
        <v>205</v>
      </c>
      <c r="G61" s="10" t="s">
        <v>211</v>
      </c>
      <c r="H61" s="9" t="s">
        <v>212</v>
      </c>
      <c r="I61" s="9" t="n">
        <v>181</v>
      </c>
      <c r="J61" s="9" t="n">
        <v>3779</v>
      </c>
      <c r="K61" s="11" t="n">
        <v>2.433</v>
      </c>
      <c r="L61" s="11" t="n">
        <v>1</v>
      </c>
      <c r="M61" s="9" t="n">
        <v>1</v>
      </c>
      <c r="N61" s="11" t="n">
        <v>0.135</v>
      </c>
      <c r="O61" s="11" t="n">
        <v>0.82</v>
      </c>
      <c r="P61" s="12"/>
      <c r="Q61" s="12"/>
      <c r="R61" s="12"/>
      <c r="S61" s="12"/>
      <c r="T61" s="9" t="s">
        <v>207</v>
      </c>
      <c r="U61" s="9" t="s">
        <v>211</v>
      </c>
    </row>
    <row r="62" customFormat="false" ht="15" hidden="false" customHeight="false" outlineLevel="0" collapsed="false">
      <c r="A62" s="9"/>
      <c r="B62" s="9"/>
      <c r="C62" s="9"/>
      <c r="D62" s="9"/>
      <c r="E62" s="9"/>
      <c r="F62" s="9" t="s">
        <v>213</v>
      </c>
      <c r="G62" s="10" t="s">
        <v>214</v>
      </c>
      <c r="H62" s="9" t="s">
        <v>215</v>
      </c>
      <c r="I62" s="9" t="n">
        <v>63</v>
      </c>
      <c r="J62" s="9" t="n">
        <v>556</v>
      </c>
      <c r="K62" s="11" t="n">
        <v>0.358</v>
      </c>
      <c r="L62" s="11" t="n">
        <v>1</v>
      </c>
      <c r="M62" s="9" t="n">
        <v>0.5</v>
      </c>
      <c r="N62" s="11" t="n">
        <v>0.741</v>
      </c>
      <c r="O62" s="11" t="n">
        <v>0.811</v>
      </c>
      <c r="P62" s="12"/>
      <c r="Q62" s="12"/>
      <c r="R62" s="12"/>
      <c r="S62" s="12"/>
      <c r="T62" s="9" t="s">
        <v>207</v>
      </c>
      <c r="U62" s="9" t="s">
        <v>214</v>
      </c>
    </row>
    <row r="63" customFormat="false" ht="15" hidden="false" customHeight="false" outlineLevel="0" collapsed="false">
      <c r="A63" s="9"/>
      <c r="B63" s="9"/>
      <c r="C63" s="9"/>
      <c r="D63" s="9"/>
      <c r="E63" s="9"/>
      <c r="F63" s="9" t="s">
        <v>205</v>
      </c>
      <c r="G63" s="10" t="s">
        <v>216</v>
      </c>
      <c r="H63" s="9" t="s">
        <v>122</v>
      </c>
      <c r="I63" s="9" t="n">
        <v>11</v>
      </c>
      <c r="J63" s="9" t="n">
        <v>180</v>
      </c>
      <c r="K63" s="11" t="n">
        <v>0.116</v>
      </c>
      <c r="L63" s="11" t="n">
        <v>1</v>
      </c>
      <c r="M63" s="9" t="n">
        <v>0.5</v>
      </c>
      <c r="N63" s="11" t="n">
        <v>0.611</v>
      </c>
      <c r="O63" s="11" t="n">
        <v>0.792</v>
      </c>
      <c r="P63" s="12"/>
      <c r="Q63" s="12"/>
      <c r="R63" s="12"/>
      <c r="S63" s="12"/>
      <c r="T63" s="9" t="s">
        <v>207</v>
      </c>
      <c r="U63" s="9" t="s">
        <v>216</v>
      </c>
    </row>
    <row r="64" customFormat="false" ht="15" hidden="false" customHeight="false" outlineLevel="0" collapsed="false">
      <c r="A64" s="7" t="s">
        <v>43</v>
      </c>
      <c r="B64" s="7" t="s">
        <v>217</v>
      </c>
      <c r="C64" s="8" t="s">
        <v>218</v>
      </c>
      <c r="D64" s="7" t="s">
        <v>219</v>
      </c>
      <c r="E64" s="7" t="n">
        <v>2583</v>
      </c>
      <c r="F64" s="9" t="s">
        <v>217</v>
      </c>
      <c r="G64" s="10" t="s">
        <v>220</v>
      </c>
      <c r="H64" s="9" t="s">
        <v>218</v>
      </c>
      <c r="I64" s="9" t="n">
        <v>71</v>
      </c>
      <c r="J64" s="9" t="n">
        <v>1637</v>
      </c>
      <c r="K64" s="11" t="n">
        <v>0.727</v>
      </c>
      <c r="L64" s="11" t="n">
        <v>1</v>
      </c>
      <c r="M64" s="9" t="n">
        <v>1</v>
      </c>
      <c r="N64" s="11" t="n">
        <v>0.846</v>
      </c>
      <c r="O64" s="11" t="n">
        <v>0.977</v>
      </c>
      <c r="P64" s="12"/>
      <c r="Q64" s="12"/>
      <c r="R64" s="12"/>
      <c r="S64" s="12"/>
      <c r="T64" s="9" t="s">
        <v>221</v>
      </c>
      <c r="U64" s="9" t="s">
        <v>220</v>
      </c>
    </row>
    <row r="65" customFormat="false" ht="15" hidden="false" customHeight="false" outlineLevel="0" collapsed="false">
      <c r="A65" s="9"/>
      <c r="B65" s="9"/>
      <c r="C65" s="9"/>
      <c r="D65" s="9"/>
      <c r="E65" s="9"/>
      <c r="F65" s="9" t="s">
        <v>217</v>
      </c>
      <c r="G65" s="10" t="s">
        <v>222</v>
      </c>
      <c r="H65" s="9" t="s">
        <v>218</v>
      </c>
      <c r="I65" s="9" t="n">
        <v>8</v>
      </c>
      <c r="J65" s="9" t="n">
        <v>4</v>
      </c>
      <c r="K65" s="11" t="n">
        <v>0.002</v>
      </c>
      <c r="L65" s="11" t="n">
        <v>1</v>
      </c>
      <c r="M65" s="9" t="n">
        <v>1</v>
      </c>
      <c r="N65" s="11" t="n">
        <v>1</v>
      </c>
      <c r="O65" s="11" t="n">
        <v>0.9</v>
      </c>
      <c r="P65" s="12"/>
      <c r="Q65" s="12"/>
      <c r="R65" s="12"/>
      <c r="S65" s="12"/>
      <c r="T65" s="9" t="s">
        <v>221</v>
      </c>
      <c r="U65" s="9" t="s">
        <v>222</v>
      </c>
    </row>
    <row r="66" customFormat="false" ht="15" hidden="false" customHeight="false" outlineLevel="0" collapsed="false">
      <c r="A66" s="9"/>
      <c r="B66" s="9"/>
      <c r="C66" s="9"/>
      <c r="D66" s="9"/>
      <c r="E66" s="9"/>
      <c r="F66" s="9" t="s">
        <v>223</v>
      </c>
      <c r="G66" s="10" t="s">
        <v>224</v>
      </c>
      <c r="H66" s="9" t="s">
        <v>225</v>
      </c>
      <c r="I66" s="9" t="n">
        <v>1</v>
      </c>
      <c r="J66" s="9" t="n">
        <v>1</v>
      </c>
      <c r="K66" s="11" t="n">
        <v>0</v>
      </c>
      <c r="L66" s="11" t="n">
        <v>1</v>
      </c>
      <c r="M66" s="9" t="n">
        <v>0</v>
      </c>
      <c r="N66" s="11" t="n">
        <v>0</v>
      </c>
      <c r="O66" s="11" t="n">
        <v>0.45</v>
      </c>
      <c r="P66" s="12"/>
      <c r="Q66" s="12"/>
      <c r="R66" s="12"/>
      <c r="S66" s="12"/>
      <c r="T66" s="9" t="s">
        <v>221</v>
      </c>
      <c r="U66" s="9" t="s">
        <v>224</v>
      </c>
    </row>
    <row r="67" customFormat="false" ht="15" hidden="false" customHeight="false" outlineLevel="0" collapsed="false">
      <c r="A67" s="9"/>
      <c r="B67" s="9"/>
      <c r="C67" s="9"/>
      <c r="D67" s="9"/>
      <c r="E67" s="9"/>
      <c r="F67" s="9" t="s">
        <v>226</v>
      </c>
      <c r="G67" s="10" t="s">
        <v>227</v>
      </c>
      <c r="H67" s="9" t="s">
        <v>228</v>
      </c>
      <c r="I67" s="9" t="n">
        <v>3</v>
      </c>
      <c r="J67" s="9" t="n">
        <v>19</v>
      </c>
      <c r="K67" s="11" t="n">
        <v>0.008</v>
      </c>
      <c r="L67" s="11" t="n">
        <v>0.75</v>
      </c>
      <c r="M67" s="9" t="n">
        <v>0</v>
      </c>
      <c r="N67" s="11" t="n">
        <v>0.714</v>
      </c>
      <c r="O67" s="11" t="n">
        <v>0.445</v>
      </c>
      <c r="P67" s="12"/>
      <c r="Q67" s="12"/>
      <c r="R67" s="12"/>
      <c r="S67" s="12"/>
      <c r="T67" s="9" t="s">
        <v>221</v>
      </c>
      <c r="U67" s="9" t="s">
        <v>227</v>
      </c>
    </row>
    <row r="68" customFormat="false" ht="15" hidden="false" customHeight="false" outlineLevel="0" collapsed="false">
      <c r="A68" s="7" t="s">
        <v>43</v>
      </c>
      <c r="B68" s="7" t="s">
        <v>229</v>
      </c>
      <c r="C68" s="8" t="s">
        <v>132</v>
      </c>
      <c r="D68" s="7" t="s">
        <v>230</v>
      </c>
      <c r="E68" s="7" t="n">
        <v>601</v>
      </c>
      <c r="F68" s="9" t="s">
        <v>229</v>
      </c>
      <c r="G68" s="10" t="s">
        <v>231</v>
      </c>
      <c r="H68" s="9" t="s">
        <v>232</v>
      </c>
      <c r="I68" s="9" t="n">
        <v>46</v>
      </c>
      <c r="J68" s="9" t="n">
        <v>616</v>
      </c>
      <c r="K68" s="11" t="n">
        <v>1.145</v>
      </c>
      <c r="L68" s="11" t="n">
        <v>1</v>
      </c>
      <c r="M68" s="9" t="n">
        <v>1</v>
      </c>
      <c r="N68" s="11" t="n">
        <v>0.724</v>
      </c>
      <c r="O68" s="11" t="n">
        <v>0.959</v>
      </c>
      <c r="P68" s="12"/>
      <c r="Q68" s="12"/>
      <c r="R68" s="12"/>
      <c r="S68" s="12"/>
      <c r="T68" s="9" t="s">
        <v>233</v>
      </c>
      <c r="U68" s="9" t="s">
        <v>231</v>
      </c>
    </row>
    <row r="69" customFormat="false" ht="15" hidden="false" customHeight="false" outlineLevel="0" collapsed="false">
      <c r="A69" s="9"/>
      <c r="B69" s="9"/>
      <c r="C69" s="9"/>
      <c r="D69" s="9"/>
      <c r="E69" s="9"/>
      <c r="F69" s="9" t="s">
        <v>229</v>
      </c>
      <c r="G69" s="10" t="s">
        <v>234</v>
      </c>
      <c r="H69" s="9" t="s">
        <v>132</v>
      </c>
      <c r="I69" s="9" t="n">
        <v>4</v>
      </c>
      <c r="J69" s="9" t="n">
        <v>112</v>
      </c>
      <c r="K69" s="11" t="n">
        <v>0.208</v>
      </c>
      <c r="L69" s="11" t="n">
        <v>1</v>
      </c>
      <c r="M69" s="9" t="n">
        <v>1</v>
      </c>
      <c r="N69" s="11" t="n">
        <v>0.667</v>
      </c>
      <c r="O69" s="11" t="n">
        <v>0.95</v>
      </c>
      <c r="P69" s="12"/>
      <c r="Q69" s="12"/>
      <c r="R69" s="12"/>
      <c r="S69" s="12"/>
      <c r="T69" s="9" t="s">
        <v>233</v>
      </c>
      <c r="U69" s="9" t="s">
        <v>234</v>
      </c>
    </row>
    <row r="70" customFormat="false" ht="15" hidden="false" customHeight="false" outlineLevel="0" collapsed="false">
      <c r="A70" s="9"/>
      <c r="B70" s="9"/>
      <c r="C70" s="9"/>
      <c r="D70" s="9"/>
      <c r="E70" s="9"/>
      <c r="F70" s="9" t="s">
        <v>229</v>
      </c>
      <c r="G70" s="10" t="s">
        <v>235</v>
      </c>
      <c r="H70" s="9" t="s">
        <v>236</v>
      </c>
      <c r="I70" s="9" t="n">
        <v>39</v>
      </c>
      <c r="J70" s="9" t="n">
        <v>612</v>
      </c>
      <c r="K70" s="11" t="n">
        <v>1.138</v>
      </c>
      <c r="L70" s="11" t="n">
        <v>1</v>
      </c>
      <c r="M70" s="9" t="n">
        <v>1</v>
      </c>
      <c r="N70" s="11" t="n">
        <v>0.327</v>
      </c>
      <c r="O70" s="11" t="n">
        <v>0.899</v>
      </c>
      <c r="P70" s="12"/>
      <c r="Q70" s="12"/>
      <c r="R70" s="12"/>
      <c r="S70" s="12"/>
      <c r="T70" s="9" t="s">
        <v>233</v>
      </c>
      <c r="U70" s="9" t="s">
        <v>235</v>
      </c>
    </row>
    <row r="71" customFormat="false" ht="15" hidden="false" customHeight="false" outlineLevel="0" collapsed="false">
      <c r="A71" s="9"/>
      <c r="B71" s="9"/>
      <c r="C71" s="9"/>
      <c r="D71" s="9"/>
      <c r="E71" s="9"/>
      <c r="F71" s="9" t="s">
        <v>229</v>
      </c>
      <c r="G71" s="10" t="s">
        <v>237</v>
      </c>
      <c r="H71" s="9" t="s">
        <v>132</v>
      </c>
      <c r="I71" s="9" t="n">
        <v>1</v>
      </c>
      <c r="J71" s="9" t="n">
        <v>0</v>
      </c>
      <c r="K71" s="11" t="n">
        <v>0</v>
      </c>
      <c r="L71" s="11" t="n">
        <v>1</v>
      </c>
      <c r="M71" s="9" t="n">
        <v>1</v>
      </c>
      <c r="N71" s="11" t="n">
        <v>0.333</v>
      </c>
      <c r="O71" s="11" t="n">
        <v>0.8</v>
      </c>
      <c r="P71" s="12"/>
      <c r="Q71" s="12"/>
      <c r="R71" s="12"/>
      <c r="S71" s="12"/>
      <c r="T71" s="9" t="s">
        <v>233</v>
      </c>
      <c r="U71" s="9" t="s">
        <v>237</v>
      </c>
    </row>
    <row r="72" customFormat="false" ht="15" hidden="false" customHeight="false" outlineLevel="0" collapsed="false">
      <c r="A72" s="9"/>
      <c r="B72" s="9"/>
      <c r="C72" s="9"/>
      <c r="D72" s="9"/>
      <c r="E72" s="9"/>
      <c r="F72" s="9" t="s">
        <v>229</v>
      </c>
      <c r="G72" s="10" t="s">
        <v>238</v>
      </c>
      <c r="H72" s="9" t="s">
        <v>137</v>
      </c>
      <c r="I72" s="9" t="n">
        <v>1</v>
      </c>
      <c r="J72" s="9" t="n">
        <v>0</v>
      </c>
      <c r="K72" s="11" t="n">
        <v>0</v>
      </c>
      <c r="L72" s="11" t="n">
        <v>1</v>
      </c>
      <c r="M72" s="9" t="n">
        <v>0.5</v>
      </c>
      <c r="N72" s="11" t="n">
        <v>0.667</v>
      </c>
      <c r="O72" s="11" t="n">
        <v>0.7</v>
      </c>
      <c r="P72" s="12"/>
      <c r="Q72" s="12"/>
      <c r="R72" s="12"/>
      <c r="S72" s="12"/>
      <c r="T72" s="9" t="s">
        <v>233</v>
      </c>
      <c r="U72" s="9" t="s">
        <v>238</v>
      </c>
    </row>
    <row r="73" customFormat="false" ht="15" hidden="false" customHeight="false" outlineLevel="0" collapsed="false">
      <c r="A73" s="7" t="s">
        <v>43</v>
      </c>
      <c r="B73" s="7" t="s">
        <v>239</v>
      </c>
      <c r="C73" s="8" t="s">
        <v>240</v>
      </c>
      <c r="D73" s="7" t="s">
        <v>241</v>
      </c>
      <c r="E73" s="7" t="n">
        <v>6412</v>
      </c>
      <c r="F73" s="9" t="s">
        <v>239</v>
      </c>
      <c r="G73" s="10" t="s">
        <v>242</v>
      </c>
      <c r="H73" s="9" t="s">
        <v>243</v>
      </c>
      <c r="I73" s="9" t="n">
        <v>92</v>
      </c>
      <c r="J73" s="9" t="n">
        <v>4310</v>
      </c>
      <c r="K73" s="11" t="n">
        <v>0.702</v>
      </c>
      <c r="L73" s="11" t="n">
        <v>1</v>
      </c>
      <c r="M73" s="9" t="n">
        <v>1</v>
      </c>
      <c r="N73" s="11" t="n">
        <v>0.792</v>
      </c>
      <c r="O73" s="11" t="n">
        <v>0.969</v>
      </c>
      <c r="P73" s="12"/>
      <c r="Q73" s="12"/>
      <c r="R73" s="12"/>
      <c r="S73" s="12"/>
      <c r="T73" s="9" t="s">
        <v>244</v>
      </c>
      <c r="U73" s="9" t="s">
        <v>242</v>
      </c>
    </row>
    <row r="74" customFormat="false" ht="15" hidden="false" customHeight="false" outlineLevel="0" collapsed="false">
      <c r="A74" s="9"/>
      <c r="B74" s="9"/>
      <c r="C74" s="9"/>
      <c r="D74" s="9"/>
      <c r="E74" s="9"/>
      <c r="F74" s="9" t="s">
        <v>239</v>
      </c>
      <c r="G74" s="10" t="s">
        <v>245</v>
      </c>
      <c r="H74" s="9" t="s">
        <v>246</v>
      </c>
      <c r="I74" s="9" t="n">
        <v>1</v>
      </c>
      <c r="J74" s="9" t="n">
        <v>112</v>
      </c>
      <c r="K74" s="11" t="n">
        <v>0.018</v>
      </c>
      <c r="L74" s="11" t="n">
        <v>1</v>
      </c>
      <c r="M74" s="9" t="n">
        <v>1</v>
      </c>
      <c r="N74" s="11" t="n">
        <v>0.667</v>
      </c>
      <c r="O74" s="11" t="n">
        <v>0.85</v>
      </c>
      <c r="P74" s="12"/>
      <c r="Q74" s="12"/>
      <c r="R74" s="12"/>
      <c r="S74" s="12"/>
      <c r="T74" s="9" t="s">
        <v>244</v>
      </c>
      <c r="U74" s="9" t="s">
        <v>245</v>
      </c>
    </row>
    <row r="75" customFormat="false" ht="15" hidden="false" customHeight="false" outlineLevel="0" collapsed="false">
      <c r="A75" s="9"/>
      <c r="B75" s="9"/>
      <c r="C75" s="9"/>
      <c r="D75" s="9"/>
      <c r="E75" s="9"/>
      <c r="F75" s="9" t="s">
        <v>239</v>
      </c>
      <c r="G75" s="10" t="s">
        <v>247</v>
      </c>
      <c r="H75" s="9"/>
      <c r="I75" s="9" t="n">
        <v>3</v>
      </c>
      <c r="J75" s="9" t="n">
        <v>19</v>
      </c>
      <c r="K75" s="11" t="n">
        <v>0.003</v>
      </c>
      <c r="L75" s="11" t="n">
        <v>1</v>
      </c>
      <c r="M75" s="9" t="n">
        <v>0</v>
      </c>
      <c r="N75" s="11" t="n">
        <v>1</v>
      </c>
      <c r="O75" s="11" t="n">
        <v>0.6</v>
      </c>
      <c r="P75" s="12"/>
      <c r="Q75" s="12"/>
      <c r="R75" s="12"/>
      <c r="S75" s="12"/>
      <c r="T75" s="9" t="s">
        <v>244</v>
      </c>
      <c r="U75" s="9" t="s">
        <v>247</v>
      </c>
    </row>
    <row r="76" customFormat="false" ht="15" hidden="false" customHeight="false" outlineLevel="0" collapsed="false">
      <c r="A76" s="9"/>
      <c r="B76" s="9"/>
      <c r="C76" s="9"/>
      <c r="D76" s="9"/>
      <c r="E76" s="9"/>
      <c r="F76" s="9" t="s">
        <v>248</v>
      </c>
      <c r="G76" s="10" t="s">
        <v>249</v>
      </c>
      <c r="H76" s="9"/>
      <c r="I76" s="9" t="n">
        <v>1</v>
      </c>
      <c r="J76" s="9" t="n">
        <v>0</v>
      </c>
      <c r="K76" s="11" t="n">
        <v>0</v>
      </c>
      <c r="L76" s="11" t="n">
        <v>1</v>
      </c>
      <c r="M76" s="9" t="n">
        <v>0</v>
      </c>
      <c r="N76" s="11" t="n">
        <v>1</v>
      </c>
      <c r="O76" s="11" t="n">
        <v>0.6</v>
      </c>
      <c r="P76" s="12"/>
      <c r="Q76" s="12"/>
      <c r="R76" s="12"/>
      <c r="S76" s="12"/>
      <c r="T76" s="9" t="s">
        <v>244</v>
      </c>
      <c r="U76" s="9" t="s">
        <v>249</v>
      </c>
    </row>
    <row r="77" customFormat="false" ht="15" hidden="false" customHeight="false" outlineLevel="0" collapsed="false">
      <c r="A77" s="9"/>
      <c r="B77" s="9"/>
      <c r="C77" s="9"/>
      <c r="D77" s="9"/>
      <c r="E77" s="9"/>
      <c r="F77" s="9" t="s">
        <v>250</v>
      </c>
      <c r="G77" s="10" t="s">
        <v>251</v>
      </c>
      <c r="H77" s="9"/>
      <c r="I77" s="9" t="n">
        <v>1</v>
      </c>
      <c r="J77" s="9" t="n">
        <v>0</v>
      </c>
      <c r="K77" s="11" t="n">
        <v>0</v>
      </c>
      <c r="L77" s="11" t="n">
        <v>1</v>
      </c>
      <c r="M77" s="9" t="n">
        <v>0</v>
      </c>
      <c r="N77" s="11" t="n">
        <v>1</v>
      </c>
      <c r="O77" s="11" t="n">
        <v>0.6</v>
      </c>
      <c r="P77" s="12"/>
      <c r="Q77" s="12"/>
      <c r="R77" s="12"/>
      <c r="S77" s="12"/>
      <c r="T77" s="9" t="s">
        <v>244</v>
      </c>
      <c r="U77" s="9" t="s">
        <v>251</v>
      </c>
    </row>
    <row r="78" customFormat="false" ht="15" hidden="false" customHeight="false" outlineLevel="0" collapsed="false">
      <c r="A78" s="7" t="s">
        <v>43</v>
      </c>
      <c r="B78" s="7" t="s">
        <v>252</v>
      </c>
      <c r="C78" s="8" t="s">
        <v>253</v>
      </c>
      <c r="D78" s="7" t="s">
        <v>254</v>
      </c>
      <c r="E78" s="7" t="n">
        <v>3052</v>
      </c>
      <c r="F78" s="9" t="s">
        <v>252</v>
      </c>
      <c r="G78" s="10" t="s">
        <v>255</v>
      </c>
      <c r="H78" s="9" t="s">
        <v>256</v>
      </c>
      <c r="I78" s="9" t="n">
        <v>229</v>
      </c>
      <c r="J78" s="9" t="n">
        <v>3756</v>
      </c>
      <c r="K78" s="11" t="n">
        <v>1.324</v>
      </c>
      <c r="L78" s="11" t="n">
        <v>1</v>
      </c>
      <c r="M78" s="9" t="n">
        <v>1</v>
      </c>
      <c r="N78" s="11" t="n">
        <v>1</v>
      </c>
      <c r="O78" s="11" t="n">
        <v>1</v>
      </c>
      <c r="P78" s="12"/>
      <c r="Q78" s="12"/>
      <c r="R78" s="12"/>
      <c r="S78" s="12"/>
      <c r="T78" s="9" t="s">
        <v>257</v>
      </c>
      <c r="U78" s="9" t="s">
        <v>255</v>
      </c>
    </row>
    <row r="79" customFormat="false" ht="15" hidden="false" customHeight="false" outlineLevel="0" collapsed="false">
      <c r="A79" s="9"/>
      <c r="B79" s="9"/>
      <c r="C79" s="9"/>
      <c r="D79" s="9"/>
      <c r="E79" s="9"/>
      <c r="F79" s="9" t="s">
        <v>258</v>
      </c>
      <c r="G79" s="10" t="s">
        <v>259</v>
      </c>
      <c r="H79" s="9"/>
      <c r="I79" s="9" t="n">
        <v>87</v>
      </c>
      <c r="J79" s="9" t="n">
        <v>579</v>
      </c>
      <c r="K79" s="11" t="n">
        <v>0.204</v>
      </c>
      <c r="L79" s="11" t="n">
        <v>1</v>
      </c>
      <c r="M79" s="9" t="n">
        <v>1</v>
      </c>
      <c r="N79" s="11" t="n">
        <v>0.547</v>
      </c>
      <c r="O79" s="11" t="n">
        <v>0.932</v>
      </c>
      <c r="P79" s="12"/>
      <c r="Q79" s="12"/>
      <c r="R79" s="12"/>
      <c r="S79" s="12"/>
      <c r="T79" s="9" t="s">
        <v>257</v>
      </c>
      <c r="U79" s="9" t="s">
        <v>259</v>
      </c>
    </row>
    <row r="80" customFormat="false" ht="15" hidden="false" customHeight="false" outlineLevel="0" collapsed="false">
      <c r="A80" s="9"/>
      <c r="B80" s="9"/>
      <c r="C80" s="9"/>
      <c r="D80" s="9"/>
      <c r="E80" s="9"/>
      <c r="F80" s="9" t="s">
        <v>260</v>
      </c>
      <c r="G80" s="10" t="s">
        <v>261</v>
      </c>
      <c r="H80" s="9" t="s">
        <v>262</v>
      </c>
      <c r="I80" s="9" t="n">
        <v>1</v>
      </c>
      <c r="J80" s="9" t="n">
        <v>4</v>
      </c>
      <c r="K80" s="11" t="n">
        <v>0.001</v>
      </c>
      <c r="L80" s="11" t="n">
        <v>1</v>
      </c>
      <c r="M80" s="9" t="n">
        <v>1</v>
      </c>
      <c r="N80" s="11" t="n">
        <v>1</v>
      </c>
      <c r="O80" s="11" t="n">
        <v>0.9</v>
      </c>
      <c r="P80" s="12"/>
      <c r="Q80" s="12"/>
      <c r="R80" s="12"/>
      <c r="S80" s="12"/>
      <c r="T80" s="9" t="s">
        <v>257</v>
      </c>
      <c r="U80" s="9" t="s">
        <v>261</v>
      </c>
    </row>
    <row r="81" customFormat="false" ht="15" hidden="false" customHeight="false" outlineLevel="0" collapsed="false">
      <c r="A81" s="9"/>
      <c r="B81" s="9"/>
      <c r="C81" s="9"/>
      <c r="D81" s="9"/>
      <c r="E81" s="9"/>
      <c r="F81" s="9" t="s">
        <v>252</v>
      </c>
      <c r="G81" s="10" t="s">
        <v>263</v>
      </c>
      <c r="H81" s="9" t="s">
        <v>262</v>
      </c>
      <c r="I81" s="9" t="n">
        <v>9</v>
      </c>
      <c r="J81" s="9" t="n">
        <v>2</v>
      </c>
      <c r="K81" s="11" t="n">
        <v>0.001</v>
      </c>
      <c r="L81" s="11" t="n">
        <v>1</v>
      </c>
      <c r="M81" s="9" t="n">
        <v>1</v>
      </c>
      <c r="N81" s="11" t="n">
        <v>0.818</v>
      </c>
      <c r="O81" s="11" t="n">
        <v>0.873</v>
      </c>
      <c r="P81" s="12"/>
      <c r="Q81" s="12"/>
      <c r="R81" s="12"/>
      <c r="S81" s="12"/>
      <c r="T81" s="9" t="s">
        <v>257</v>
      </c>
      <c r="U81" s="9" t="s">
        <v>263</v>
      </c>
    </row>
    <row r="82" customFormat="false" ht="15" hidden="false" customHeight="false" outlineLevel="0" collapsed="false">
      <c r="A82" s="9"/>
      <c r="B82" s="9"/>
      <c r="C82" s="9"/>
      <c r="D82" s="9"/>
      <c r="E82" s="9"/>
      <c r="F82" s="9" t="s">
        <v>264</v>
      </c>
      <c r="G82" s="10" t="s">
        <v>265</v>
      </c>
      <c r="H82" s="9" t="s">
        <v>266</v>
      </c>
      <c r="I82" s="9" t="n">
        <v>88</v>
      </c>
      <c r="J82" s="9" t="n">
        <v>1960</v>
      </c>
      <c r="K82" s="11" t="n">
        <v>0.691</v>
      </c>
      <c r="L82" s="11" t="n">
        <v>1</v>
      </c>
      <c r="M82" s="9" t="n">
        <v>1</v>
      </c>
      <c r="N82" s="11" t="n">
        <v>0</v>
      </c>
      <c r="O82" s="11" t="n">
        <v>0.85</v>
      </c>
      <c r="P82" s="12"/>
      <c r="Q82" s="12"/>
      <c r="R82" s="12"/>
      <c r="S82" s="12"/>
      <c r="T82" s="9" t="s">
        <v>257</v>
      </c>
      <c r="U82" s="9" t="s">
        <v>265</v>
      </c>
    </row>
    <row r="83" customFormat="false" ht="15" hidden="false" customHeight="false" outlineLevel="0" collapsed="false">
      <c r="A83" s="7" t="s">
        <v>43</v>
      </c>
      <c r="B83" s="7" t="s">
        <v>267</v>
      </c>
      <c r="C83" s="8" t="s">
        <v>268</v>
      </c>
      <c r="D83" s="7" t="s">
        <v>269</v>
      </c>
      <c r="E83" s="7" t="n">
        <v>5018</v>
      </c>
      <c r="F83" s="9" t="s">
        <v>267</v>
      </c>
      <c r="G83" s="10" t="s">
        <v>270</v>
      </c>
      <c r="H83" s="9" t="s">
        <v>268</v>
      </c>
      <c r="I83" s="9" t="n">
        <v>77</v>
      </c>
      <c r="J83" s="9" t="n">
        <v>2284</v>
      </c>
      <c r="K83" s="11" t="n">
        <v>0.467</v>
      </c>
      <c r="L83" s="11" t="n">
        <v>1</v>
      </c>
      <c r="M83" s="9" t="n">
        <v>1</v>
      </c>
      <c r="N83" s="11" t="n">
        <v>0.806</v>
      </c>
      <c r="O83" s="11" t="n">
        <v>0.971</v>
      </c>
      <c r="P83" s="12"/>
      <c r="Q83" s="12"/>
      <c r="R83" s="12"/>
      <c r="S83" s="12"/>
      <c r="T83" s="9" t="s">
        <v>271</v>
      </c>
      <c r="U83" s="9" t="s">
        <v>270</v>
      </c>
    </row>
    <row r="84" customFormat="false" ht="15" hidden="false" customHeight="false" outlineLevel="0" collapsed="false">
      <c r="A84" s="9"/>
      <c r="B84" s="9"/>
      <c r="C84" s="9"/>
      <c r="D84" s="9"/>
      <c r="E84" s="9"/>
      <c r="F84" s="9" t="s">
        <v>267</v>
      </c>
      <c r="G84" s="10" t="s">
        <v>272</v>
      </c>
      <c r="H84" s="9" t="s">
        <v>273</v>
      </c>
      <c r="I84" s="9" t="n">
        <v>692</v>
      </c>
      <c r="J84" s="9" t="n">
        <v>11827</v>
      </c>
      <c r="K84" s="11" t="n">
        <v>2.416</v>
      </c>
      <c r="L84" s="11" t="n">
        <v>1</v>
      </c>
      <c r="M84" s="9" t="n">
        <v>1</v>
      </c>
      <c r="N84" s="11" t="n">
        <v>0.727</v>
      </c>
      <c r="O84" s="11" t="n">
        <v>0.909</v>
      </c>
      <c r="P84" s="12"/>
      <c r="Q84" s="12"/>
      <c r="R84" s="12"/>
      <c r="S84" s="12"/>
      <c r="T84" s="9" t="s">
        <v>271</v>
      </c>
      <c r="U84" s="9" t="s">
        <v>272</v>
      </c>
    </row>
    <row r="85" customFormat="false" ht="15" hidden="false" customHeight="false" outlineLevel="0" collapsed="false">
      <c r="A85" s="9"/>
      <c r="B85" s="9"/>
      <c r="C85" s="9"/>
      <c r="D85" s="9"/>
      <c r="E85" s="9"/>
      <c r="F85" s="9" t="s">
        <v>274</v>
      </c>
      <c r="G85" s="10" t="s">
        <v>275</v>
      </c>
      <c r="H85" s="9" t="s">
        <v>276</v>
      </c>
      <c r="I85" s="9" t="n">
        <v>269</v>
      </c>
      <c r="J85" s="9" t="n">
        <v>12522</v>
      </c>
      <c r="K85" s="11" t="n">
        <v>2.558</v>
      </c>
      <c r="L85" s="11" t="n">
        <v>0.863</v>
      </c>
      <c r="M85" s="9" t="n">
        <v>1</v>
      </c>
      <c r="N85" s="11" t="n">
        <v>0.783</v>
      </c>
      <c r="O85" s="11" t="n">
        <v>0.856</v>
      </c>
      <c r="P85" s="12"/>
      <c r="Q85" s="12"/>
      <c r="R85" s="12"/>
      <c r="S85" s="12"/>
      <c r="T85" s="9" t="s">
        <v>271</v>
      </c>
      <c r="U85" s="9" t="s">
        <v>275</v>
      </c>
    </row>
    <row r="86" customFormat="false" ht="15" hidden="false" customHeight="false" outlineLevel="0" collapsed="false">
      <c r="A86" s="9"/>
      <c r="B86" s="9"/>
      <c r="C86" s="9"/>
      <c r="D86" s="9"/>
      <c r="E86" s="9"/>
      <c r="F86" s="9" t="s">
        <v>277</v>
      </c>
      <c r="G86" s="10" t="s">
        <v>278</v>
      </c>
      <c r="H86" s="9" t="s">
        <v>279</v>
      </c>
      <c r="I86" s="9" t="n">
        <v>18</v>
      </c>
      <c r="J86" s="9" t="n">
        <v>329</v>
      </c>
      <c r="K86" s="11" t="n">
        <v>0.067</v>
      </c>
      <c r="L86" s="11" t="n">
        <v>1</v>
      </c>
      <c r="M86" s="9" t="n">
        <v>0</v>
      </c>
      <c r="N86" s="11" t="n">
        <v>0.8</v>
      </c>
      <c r="O86" s="11" t="n">
        <v>0.62</v>
      </c>
      <c r="P86" s="12"/>
      <c r="Q86" s="12"/>
      <c r="R86" s="12"/>
      <c r="S86" s="12"/>
      <c r="T86" s="9" t="s">
        <v>271</v>
      </c>
      <c r="U86" s="9" t="s">
        <v>278</v>
      </c>
    </row>
    <row r="87" customFormat="false" ht="15" hidden="false" customHeight="false" outlineLevel="0" collapsed="false">
      <c r="A87" s="9"/>
      <c r="B87" s="9"/>
      <c r="C87" s="9"/>
      <c r="D87" s="9"/>
      <c r="E87" s="9"/>
      <c r="F87" s="9" t="s">
        <v>280</v>
      </c>
      <c r="G87" s="10" t="s">
        <v>281</v>
      </c>
      <c r="H87" s="9" t="s">
        <v>282</v>
      </c>
      <c r="I87" s="9" t="n">
        <v>1</v>
      </c>
      <c r="J87" s="9" t="n">
        <v>19</v>
      </c>
      <c r="K87" s="11" t="n">
        <v>0.004</v>
      </c>
      <c r="L87" s="11" t="n">
        <v>1</v>
      </c>
      <c r="M87" s="9" t="n">
        <v>0</v>
      </c>
      <c r="N87" s="11" t="n">
        <v>1</v>
      </c>
      <c r="O87" s="11" t="n">
        <v>0.6</v>
      </c>
      <c r="P87" s="12"/>
      <c r="Q87" s="12"/>
      <c r="R87" s="12"/>
      <c r="S87" s="12"/>
      <c r="T87" s="9" t="s">
        <v>271</v>
      </c>
      <c r="U87" s="9" t="s">
        <v>281</v>
      </c>
    </row>
    <row r="88" customFormat="false" ht="15" hidden="false" customHeight="false" outlineLevel="0" collapsed="false">
      <c r="A88" s="7" t="s">
        <v>43</v>
      </c>
      <c r="B88" s="7" t="s">
        <v>283</v>
      </c>
      <c r="C88" s="8" t="s">
        <v>284</v>
      </c>
      <c r="D88" s="7" t="s">
        <v>285</v>
      </c>
      <c r="E88" s="7" t="n">
        <v>1059</v>
      </c>
      <c r="F88" s="9" t="s">
        <v>286</v>
      </c>
      <c r="G88" s="10" t="s">
        <v>287</v>
      </c>
      <c r="H88" s="9" t="s">
        <v>50</v>
      </c>
      <c r="I88" s="9" t="n">
        <v>13</v>
      </c>
      <c r="J88" s="9" t="n">
        <v>533</v>
      </c>
      <c r="K88" s="11" t="n">
        <v>0.513</v>
      </c>
      <c r="L88" s="11" t="n">
        <v>1</v>
      </c>
      <c r="M88" s="9" t="n">
        <v>1</v>
      </c>
      <c r="N88" s="11" t="n">
        <v>1</v>
      </c>
      <c r="O88" s="11" t="n">
        <v>1</v>
      </c>
      <c r="P88" s="12"/>
      <c r="Q88" s="12"/>
      <c r="R88" s="12"/>
      <c r="S88" s="12"/>
      <c r="T88" s="9" t="s">
        <v>288</v>
      </c>
      <c r="U88" s="9" t="s">
        <v>287</v>
      </c>
    </row>
    <row r="89" customFormat="false" ht="15" hidden="false" customHeight="false" outlineLevel="0" collapsed="false">
      <c r="A89" s="9"/>
      <c r="B89" s="9"/>
      <c r="C89" s="9"/>
      <c r="D89" s="9"/>
      <c r="E89" s="9"/>
      <c r="F89" s="9" t="s">
        <v>283</v>
      </c>
      <c r="G89" s="10" t="s">
        <v>289</v>
      </c>
      <c r="H89" s="9" t="s">
        <v>290</v>
      </c>
      <c r="I89" s="9" t="n">
        <v>69</v>
      </c>
      <c r="J89" s="9" t="n">
        <v>296</v>
      </c>
      <c r="K89" s="11" t="n">
        <v>0.285</v>
      </c>
      <c r="L89" s="11" t="n">
        <v>1</v>
      </c>
      <c r="M89" s="9" t="n">
        <v>1</v>
      </c>
      <c r="N89" s="11" t="n">
        <v>0.788</v>
      </c>
      <c r="O89" s="11" t="n">
        <v>0.968</v>
      </c>
      <c r="P89" s="12"/>
      <c r="Q89" s="12"/>
      <c r="R89" s="12"/>
      <c r="S89" s="12"/>
      <c r="T89" s="9" t="s">
        <v>288</v>
      </c>
      <c r="U89" s="9" t="s">
        <v>289</v>
      </c>
    </row>
    <row r="90" customFormat="false" ht="15" hidden="false" customHeight="false" outlineLevel="0" collapsed="false">
      <c r="A90" s="9"/>
      <c r="B90" s="9"/>
      <c r="C90" s="9"/>
      <c r="D90" s="9"/>
      <c r="E90" s="9"/>
      <c r="F90" s="9" t="s">
        <v>291</v>
      </c>
      <c r="G90" s="10" t="s">
        <v>292</v>
      </c>
      <c r="H90" s="9" t="s">
        <v>293</v>
      </c>
      <c r="I90" s="9" t="n">
        <v>1</v>
      </c>
      <c r="J90" s="9" t="n">
        <v>119</v>
      </c>
      <c r="K90" s="11" t="n">
        <v>0.115</v>
      </c>
      <c r="L90" s="11" t="n">
        <v>1</v>
      </c>
      <c r="M90" s="9" t="n">
        <v>0</v>
      </c>
      <c r="N90" s="11" t="n">
        <v>1</v>
      </c>
      <c r="O90" s="11" t="n">
        <v>0.7</v>
      </c>
      <c r="P90" s="12"/>
      <c r="Q90" s="12"/>
      <c r="R90" s="12"/>
      <c r="S90" s="12"/>
      <c r="T90" s="9" t="s">
        <v>288</v>
      </c>
      <c r="U90" s="9" t="s">
        <v>292</v>
      </c>
    </row>
    <row r="91" customFormat="false" ht="15" hidden="false" customHeight="false" outlineLevel="0" collapsed="false">
      <c r="A91" s="9"/>
      <c r="B91" s="9"/>
      <c r="C91" s="9"/>
      <c r="D91" s="9"/>
      <c r="E91" s="9"/>
      <c r="F91" s="9" t="s">
        <v>294</v>
      </c>
      <c r="G91" s="10" t="s">
        <v>295</v>
      </c>
      <c r="H91" s="9"/>
      <c r="I91" s="9" t="n">
        <v>6</v>
      </c>
      <c r="J91" s="9" t="n">
        <v>116</v>
      </c>
      <c r="K91" s="11" t="n">
        <v>0.112</v>
      </c>
      <c r="L91" s="11" t="n">
        <v>1</v>
      </c>
      <c r="M91" s="9" t="n">
        <v>0</v>
      </c>
      <c r="N91" s="11" t="n">
        <v>0.833</v>
      </c>
      <c r="O91" s="11" t="n">
        <v>0.675</v>
      </c>
      <c r="P91" s="12"/>
      <c r="Q91" s="12"/>
      <c r="R91" s="12"/>
      <c r="S91" s="12"/>
      <c r="T91" s="9" t="s">
        <v>288</v>
      </c>
      <c r="U91" s="9" t="s">
        <v>295</v>
      </c>
    </row>
    <row r="92" customFormat="false" ht="15" hidden="false" customHeight="false" outlineLevel="0" collapsed="false">
      <c r="A92" s="9"/>
      <c r="B92" s="9"/>
      <c r="C92" s="9"/>
      <c r="D92" s="9"/>
      <c r="E92" s="9"/>
      <c r="F92" s="9" t="s">
        <v>283</v>
      </c>
      <c r="G92" s="10" t="s">
        <v>296</v>
      </c>
      <c r="H92" s="9" t="s">
        <v>297</v>
      </c>
      <c r="I92" s="9" t="n">
        <v>112</v>
      </c>
      <c r="J92" s="9" t="n">
        <v>1285</v>
      </c>
      <c r="K92" s="11" t="n">
        <v>1.238</v>
      </c>
      <c r="L92" s="11" t="n">
        <v>1</v>
      </c>
      <c r="M92" s="9" t="n">
        <v>0</v>
      </c>
      <c r="N92" s="11" t="n">
        <v>0.772</v>
      </c>
      <c r="O92" s="11" t="n">
        <v>0.666</v>
      </c>
      <c r="P92" s="12"/>
      <c r="Q92" s="12"/>
      <c r="R92" s="12"/>
      <c r="S92" s="12"/>
      <c r="T92" s="9" t="s">
        <v>288</v>
      </c>
      <c r="U92" s="9" t="s">
        <v>296</v>
      </c>
    </row>
    <row r="93" customFormat="false" ht="15" hidden="false" customHeight="false" outlineLevel="0" collapsed="false">
      <c r="A93" s="7" t="s">
        <v>43</v>
      </c>
      <c r="B93" s="7" t="s">
        <v>298</v>
      </c>
      <c r="C93" s="8" t="s">
        <v>299</v>
      </c>
      <c r="D93" s="7" t="s">
        <v>300</v>
      </c>
      <c r="E93" s="7" t="n">
        <v>7166</v>
      </c>
      <c r="F93" s="9" t="s">
        <v>298</v>
      </c>
      <c r="G93" s="10" t="s">
        <v>301</v>
      </c>
      <c r="H93" s="9" t="s">
        <v>299</v>
      </c>
      <c r="I93" s="9" t="n">
        <v>161</v>
      </c>
      <c r="J93" s="9" t="n">
        <v>4213</v>
      </c>
      <c r="K93" s="11" t="n">
        <v>0.641</v>
      </c>
      <c r="L93" s="11" t="n">
        <v>1</v>
      </c>
      <c r="M93" s="9" t="n">
        <v>1</v>
      </c>
      <c r="N93" s="11" t="n">
        <v>1</v>
      </c>
      <c r="O93" s="11" t="n">
        <v>1</v>
      </c>
      <c r="P93" s="12"/>
      <c r="Q93" s="12"/>
      <c r="R93" s="12"/>
      <c r="S93" s="12"/>
      <c r="T93" s="9" t="s">
        <v>302</v>
      </c>
      <c r="U93" s="9" t="s">
        <v>301</v>
      </c>
    </row>
    <row r="94" customFormat="false" ht="15" hidden="false" customHeight="false" outlineLevel="0" collapsed="false">
      <c r="A94" s="9"/>
      <c r="B94" s="9"/>
      <c r="C94" s="9"/>
      <c r="D94" s="9"/>
      <c r="E94" s="9"/>
      <c r="F94" s="9" t="s">
        <v>298</v>
      </c>
      <c r="G94" s="10" t="s">
        <v>303</v>
      </c>
      <c r="H94" s="9" t="s">
        <v>299</v>
      </c>
      <c r="I94" s="9" t="n">
        <v>11</v>
      </c>
      <c r="J94" s="9" t="n">
        <v>494</v>
      </c>
      <c r="K94" s="11" t="n">
        <v>0.075</v>
      </c>
      <c r="L94" s="11" t="n">
        <v>1</v>
      </c>
      <c r="M94" s="9" t="n">
        <v>1</v>
      </c>
      <c r="N94" s="11" t="n">
        <v>0.7</v>
      </c>
      <c r="O94" s="11" t="n">
        <v>0.905</v>
      </c>
      <c r="P94" s="12"/>
      <c r="Q94" s="12"/>
      <c r="R94" s="12"/>
      <c r="S94" s="12"/>
      <c r="T94" s="9" t="s">
        <v>302</v>
      </c>
      <c r="U94" s="9" t="s">
        <v>303</v>
      </c>
    </row>
    <row r="95" customFormat="false" ht="15" hidden="false" customHeight="false" outlineLevel="0" collapsed="false">
      <c r="A95" s="9"/>
      <c r="B95" s="9"/>
      <c r="C95" s="9"/>
      <c r="D95" s="9"/>
      <c r="E95" s="9"/>
      <c r="F95" s="9" t="s">
        <v>298</v>
      </c>
      <c r="G95" s="10" t="s">
        <v>304</v>
      </c>
      <c r="H95" s="9" t="s">
        <v>299</v>
      </c>
      <c r="I95" s="9" t="n">
        <v>1</v>
      </c>
      <c r="J95" s="9" t="n">
        <v>0</v>
      </c>
      <c r="K95" s="11" t="n">
        <v>0</v>
      </c>
      <c r="L95" s="11" t="n">
        <v>1</v>
      </c>
      <c r="M95" s="9" t="n">
        <v>1</v>
      </c>
      <c r="N95" s="11" t="n">
        <v>1</v>
      </c>
      <c r="O95" s="11" t="n">
        <v>0.9</v>
      </c>
      <c r="P95" s="12"/>
      <c r="Q95" s="12"/>
      <c r="R95" s="12"/>
      <c r="S95" s="12"/>
      <c r="T95" s="9" t="s">
        <v>302</v>
      </c>
      <c r="U95" s="9" t="s">
        <v>304</v>
      </c>
    </row>
    <row r="96" customFormat="false" ht="15" hidden="false" customHeight="false" outlineLevel="0" collapsed="false">
      <c r="A96" s="9"/>
      <c r="B96" s="9"/>
      <c r="C96" s="9"/>
      <c r="D96" s="9"/>
      <c r="E96" s="9"/>
      <c r="F96" s="9" t="s">
        <v>298</v>
      </c>
      <c r="G96" s="10" t="s">
        <v>305</v>
      </c>
      <c r="H96" s="9" t="s">
        <v>299</v>
      </c>
      <c r="I96" s="9" t="n">
        <v>1</v>
      </c>
      <c r="J96" s="9" t="n">
        <v>0</v>
      </c>
      <c r="K96" s="11" t="n">
        <v>0</v>
      </c>
      <c r="L96" s="11" t="n">
        <v>1</v>
      </c>
      <c r="M96" s="9" t="n">
        <v>1</v>
      </c>
      <c r="N96" s="11" t="n">
        <v>1</v>
      </c>
      <c r="O96" s="11" t="n">
        <v>0.9</v>
      </c>
      <c r="P96" s="12"/>
      <c r="Q96" s="12"/>
      <c r="R96" s="12"/>
      <c r="S96" s="12"/>
      <c r="T96" s="9" t="s">
        <v>302</v>
      </c>
      <c r="U96" s="9" t="s">
        <v>305</v>
      </c>
    </row>
    <row r="97" customFormat="false" ht="15" hidden="false" customHeight="false" outlineLevel="0" collapsed="false">
      <c r="A97" s="9"/>
      <c r="B97" s="9"/>
      <c r="C97" s="9"/>
      <c r="D97" s="9"/>
      <c r="E97" s="9"/>
      <c r="F97" s="9" t="s">
        <v>298</v>
      </c>
      <c r="G97" s="10" t="s">
        <v>306</v>
      </c>
      <c r="H97" s="9" t="s">
        <v>307</v>
      </c>
      <c r="I97" s="9" t="n">
        <v>1</v>
      </c>
      <c r="J97" s="9" t="n">
        <v>0</v>
      </c>
      <c r="K97" s="11" t="n">
        <v>0</v>
      </c>
      <c r="L97" s="11" t="n">
        <v>1</v>
      </c>
      <c r="M97" s="9" t="n">
        <v>0</v>
      </c>
      <c r="N97" s="11" t="n">
        <v>0.5</v>
      </c>
      <c r="O97" s="11" t="n">
        <v>0.525</v>
      </c>
      <c r="P97" s="12"/>
      <c r="Q97" s="12"/>
      <c r="R97" s="12"/>
      <c r="S97" s="12"/>
      <c r="T97" s="9" t="s">
        <v>302</v>
      </c>
      <c r="U97" s="9" t="s">
        <v>306</v>
      </c>
    </row>
    <row r="98" customFormat="false" ht="15" hidden="false" customHeight="false" outlineLevel="0" collapsed="false">
      <c r="A98" s="7" t="s">
        <v>43</v>
      </c>
      <c r="B98" s="7" t="s">
        <v>308</v>
      </c>
      <c r="C98" s="8" t="s">
        <v>309</v>
      </c>
      <c r="D98" s="7" t="s">
        <v>310</v>
      </c>
      <c r="E98" s="7" t="n">
        <v>1359</v>
      </c>
      <c r="F98" s="9" t="s">
        <v>308</v>
      </c>
      <c r="G98" s="10" t="s">
        <v>311</v>
      </c>
      <c r="H98" s="9"/>
      <c r="I98" s="9" t="n">
        <v>21</v>
      </c>
      <c r="J98" s="9" t="n">
        <v>824</v>
      </c>
      <c r="K98" s="11" t="n">
        <v>0.643</v>
      </c>
      <c r="L98" s="11" t="n">
        <v>1</v>
      </c>
      <c r="M98" s="9" t="n">
        <v>1</v>
      </c>
      <c r="N98" s="11" t="n">
        <v>1</v>
      </c>
      <c r="O98" s="11" t="n">
        <v>1</v>
      </c>
      <c r="P98" s="12"/>
      <c r="Q98" s="12"/>
      <c r="R98" s="12"/>
      <c r="S98" s="12"/>
      <c r="T98" s="9" t="s">
        <v>312</v>
      </c>
      <c r="U98" s="9" t="s">
        <v>311</v>
      </c>
    </row>
    <row r="99" customFormat="false" ht="15" hidden="false" customHeight="false" outlineLevel="0" collapsed="false">
      <c r="A99" s="9"/>
      <c r="B99" s="9"/>
      <c r="C99" s="9"/>
      <c r="D99" s="9"/>
      <c r="E99" s="9"/>
      <c r="F99" s="9" t="s">
        <v>308</v>
      </c>
      <c r="G99" s="10" t="s">
        <v>313</v>
      </c>
      <c r="H99" s="9" t="s">
        <v>314</v>
      </c>
      <c r="I99" s="9" t="n">
        <v>103</v>
      </c>
      <c r="J99" s="9" t="n">
        <v>2260</v>
      </c>
      <c r="K99" s="11" t="n">
        <v>1.764</v>
      </c>
      <c r="L99" s="11" t="n">
        <v>1</v>
      </c>
      <c r="M99" s="9" t="n">
        <v>1</v>
      </c>
      <c r="N99" s="11" t="n">
        <v>1</v>
      </c>
      <c r="O99" s="11" t="n">
        <v>0.95</v>
      </c>
      <c r="P99" s="12"/>
      <c r="Q99" s="12"/>
      <c r="R99" s="12"/>
      <c r="S99" s="12"/>
      <c r="T99" s="9" t="s">
        <v>312</v>
      </c>
      <c r="U99" s="9" t="s">
        <v>313</v>
      </c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 t="s">
        <v>308</v>
      </c>
      <c r="G100" s="10" t="s">
        <v>315</v>
      </c>
      <c r="H100" s="9" t="s">
        <v>314</v>
      </c>
      <c r="I100" s="9" t="n">
        <v>4</v>
      </c>
      <c r="J100" s="9" t="n">
        <v>0</v>
      </c>
      <c r="K100" s="11" t="n">
        <v>0</v>
      </c>
      <c r="L100" s="11" t="n">
        <v>1</v>
      </c>
      <c r="M100" s="9" t="n">
        <v>0</v>
      </c>
      <c r="N100" s="11" t="n">
        <v>1</v>
      </c>
      <c r="O100" s="11" t="n">
        <v>0.6</v>
      </c>
      <c r="P100" s="12"/>
      <c r="Q100" s="12"/>
      <c r="R100" s="12"/>
      <c r="S100" s="12"/>
      <c r="T100" s="9" t="s">
        <v>312</v>
      </c>
      <c r="U100" s="9" t="s">
        <v>315</v>
      </c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 t="s">
        <v>308</v>
      </c>
      <c r="G101" s="10" t="s">
        <v>316</v>
      </c>
      <c r="H101" s="9"/>
      <c r="I101" s="9" t="n">
        <v>1</v>
      </c>
      <c r="J101" s="9" t="n">
        <v>0</v>
      </c>
      <c r="K101" s="11" t="n">
        <v>0</v>
      </c>
      <c r="L101" s="11" t="n">
        <v>1</v>
      </c>
      <c r="M101" s="9" t="n">
        <v>0</v>
      </c>
      <c r="N101" s="11" t="n">
        <v>1</v>
      </c>
      <c r="O101" s="11" t="n">
        <v>0.6</v>
      </c>
      <c r="P101" s="12"/>
      <c r="Q101" s="12"/>
      <c r="R101" s="12"/>
      <c r="S101" s="12"/>
      <c r="T101" s="9" t="s">
        <v>312</v>
      </c>
      <c r="U101" s="9" t="s">
        <v>316</v>
      </c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 t="s">
        <v>308</v>
      </c>
      <c r="G102" s="10" t="s">
        <v>317</v>
      </c>
      <c r="H102" s="9" t="s">
        <v>314</v>
      </c>
      <c r="I102" s="9" t="n">
        <v>4</v>
      </c>
      <c r="J102" s="9" t="n">
        <v>9</v>
      </c>
      <c r="K102" s="11" t="n">
        <v>0.007</v>
      </c>
      <c r="L102" s="11" t="n">
        <v>1</v>
      </c>
      <c r="M102" s="9" t="n">
        <v>0</v>
      </c>
      <c r="N102" s="11" t="n">
        <v>0.667</v>
      </c>
      <c r="O102" s="11" t="n">
        <v>0.55</v>
      </c>
      <c r="P102" s="12"/>
      <c r="Q102" s="12"/>
      <c r="R102" s="12"/>
      <c r="S102" s="12"/>
      <c r="T102" s="9" t="s">
        <v>312</v>
      </c>
      <c r="U102" s="9" t="s">
        <v>317</v>
      </c>
    </row>
    <row r="103" customFormat="false" ht="15" hidden="false" customHeight="false" outlineLevel="0" collapsed="false">
      <c r="A103" s="7" t="s">
        <v>43</v>
      </c>
      <c r="B103" s="7" t="s">
        <v>318</v>
      </c>
      <c r="C103" s="8" t="s">
        <v>319</v>
      </c>
      <c r="D103" s="7" t="s">
        <v>320</v>
      </c>
      <c r="E103" s="7" t="n">
        <v>863</v>
      </c>
      <c r="F103" s="9" t="s">
        <v>318</v>
      </c>
      <c r="G103" s="10" t="s">
        <v>321</v>
      </c>
      <c r="H103" s="9" t="s">
        <v>319</v>
      </c>
      <c r="I103" s="9" t="n">
        <v>39</v>
      </c>
      <c r="J103" s="9" t="n">
        <v>693</v>
      </c>
      <c r="K103" s="11" t="n">
        <v>0.931</v>
      </c>
      <c r="L103" s="11" t="n">
        <v>1</v>
      </c>
      <c r="M103" s="9" t="n">
        <v>1</v>
      </c>
      <c r="N103" s="11" t="n">
        <v>0.902</v>
      </c>
      <c r="O103" s="11" t="n">
        <v>0.985</v>
      </c>
      <c r="P103" s="12"/>
      <c r="Q103" s="12"/>
      <c r="R103" s="12"/>
      <c r="S103" s="12"/>
      <c r="T103" s="9" t="s">
        <v>322</v>
      </c>
      <c r="U103" s="9" t="s">
        <v>321</v>
      </c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 t="s">
        <v>323</v>
      </c>
      <c r="G104" s="10" t="s">
        <v>324</v>
      </c>
      <c r="H104" s="9" t="s">
        <v>325</v>
      </c>
      <c r="I104" s="9" t="n">
        <v>136</v>
      </c>
      <c r="J104" s="9" t="n">
        <v>1039</v>
      </c>
      <c r="K104" s="11" t="n">
        <v>1.397</v>
      </c>
      <c r="L104" s="11" t="n">
        <v>1</v>
      </c>
      <c r="M104" s="9" t="n">
        <v>1</v>
      </c>
      <c r="N104" s="11" t="n">
        <v>0.456</v>
      </c>
      <c r="O104" s="11" t="n">
        <v>0.918</v>
      </c>
      <c r="P104" s="12"/>
      <c r="Q104" s="12"/>
      <c r="R104" s="12"/>
      <c r="S104" s="12"/>
      <c r="T104" s="9" t="s">
        <v>322</v>
      </c>
      <c r="U104" s="9" t="s">
        <v>324</v>
      </c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 t="s">
        <v>323</v>
      </c>
      <c r="G105" s="10" t="s">
        <v>326</v>
      </c>
      <c r="H105" s="9" t="s">
        <v>327</v>
      </c>
      <c r="I105" s="9" t="n">
        <v>81</v>
      </c>
      <c r="J105" s="9" t="n">
        <v>2206</v>
      </c>
      <c r="K105" s="11" t="n">
        <v>2.965</v>
      </c>
      <c r="L105" s="11" t="n">
        <v>1</v>
      </c>
      <c r="M105" s="9" t="n">
        <v>0.5</v>
      </c>
      <c r="N105" s="11" t="n">
        <v>0.262</v>
      </c>
      <c r="O105" s="11" t="n">
        <v>0.689</v>
      </c>
      <c r="P105" s="12"/>
      <c r="Q105" s="12"/>
      <c r="R105" s="12"/>
      <c r="S105" s="12"/>
      <c r="T105" s="9" t="s">
        <v>322</v>
      </c>
      <c r="U105" s="9" t="s">
        <v>326</v>
      </c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 t="s">
        <v>323</v>
      </c>
      <c r="G106" s="10" t="s">
        <v>328</v>
      </c>
      <c r="H106" s="9" t="s">
        <v>329</v>
      </c>
      <c r="I106" s="9" t="n">
        <v>121</v>
      </c>
      <c r="J106" s="9" t="n">
        <v>2490</v>
      </c>
      <c r="K106" s="11" t="n">
        <v>3.347</v>
      </c>
      <c r="L106" s="11" t="n">
        <v>1</v>
      </c>
      <c r="M106" s="9" t="n">
        <v>0.5</v>
      </c>
      <c r="N106" s="11" t="n">
        <v>0.276</v>
      </c>
      <c r="O106" s="11" t="n">
        <v>0.641</v>
      </c>
      <c r="P106" s="12"/>
      <c r="Q106" s="12"/>
      <c r="R106" s="12"/>
      <c r="S106" s="12"/>
      <c r="T106" s="9" t="s">
        <v>322</v>
      </c>
      <c r="U106" s="9" t="s">
        <v>328</v>
      </c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 t="s">
        <v>323</v>
      </c>
      <c r="G107" s="10" t="s">
        <v>330</v>
      </c>
      <c r="H107" s="9" t="s">
        <v>331</v>
      </c>
      <c r="I107" s="9" t="n">
        <v>208</v>
      </c>
      <c r="J107" s="9" t="n">
        <v>16357</v>
      </c>
      <c r="K107" s="11" t="n">
        <v>21.985</v>
      </c>
      <c r="L107" s="11" t="n">
        <v>1</v>
      </c>
      <c r="M107" s="9" t="n">
        <v>0.5</v>
      </c>
      <c r="N107" s="11" t="n">
        <v>0</v>
      </c>
      <c r="O107" s="11" t="n">
        <v>0.6</v>
      </c>
      <c r="P107" s="12"/>
      <c r="Q107" s="12"/>
      <c r="R107" s="12"/>
      <c r="S107" s="12"/>
      <c r="T107" s="9" t="s">
        <v>322</v>
      </c>
      <c r="U107" s="9" t="s">
        <v>330</v>
      </c>
    </row>
    <row r="108" customFormat="false" ht="15" hidden="false" customHeight="false" outlineLevel="0" collapsed="false">
      <c r="A108" s="7" t="s">
        <v>43</v>
      </c>
      <c r="B108" s="7" t="s">
        <v>332</v>
      </c>
      <c r="C108" s="8" t="s">
        <v>333</v>
      </c>
      <c r="D108" s="7" t="s">
        <v>334</v>
      </c>
      <c r="E108" s="7" t="n">
        <v>2262</v>
      </c>
      <c r="F108" s="9" t="s">
        <v>332</v>
      </c>
      <c r="G108" s="10" t="s">
        <v>335</v>
      </c>
      <c r="H108" s="9" t="s">
        <v>333</v>
      </c>
      <c r="I108" s="9" t="n">
        <v>43</v>
      </c>
      <c r="J108" s="9" t="n">
        <v>422</v>
      </c>
      <c r="K108" s="11" t="n">
        <v>0.199</v>
      </c>
      <c r="L108" s="11" t="n">
        <v>1</v>
      </c>
      <c r="M108" s="9" t="n">
        <v>1</v>
      </c>
      <c r="N108" s="11" t="n">
        <v>1</v>
      </c>
      <c r="O108" s="11" t="n">
        <v>1</v>
      </c>
      <c r="P108" s="12"/>
      <c r="Q108" s="12"/>
      <c r="R108" s="12"/>
      <c r="S108" s="12"/>
      <c r="T108" s="9" t="s">
        <v>336</v>
      </c>
      <c r="U108" s="9" t="s">
        <v>335</v>
      </c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 t="s">
        <v>332</v>
      </c>
      <c r="G109" s="10" t="s">
        <v>337</v>
      </c>
      <c r="H109" s="9" t="s">
        <v>338</v>
      </c>
      <c r="I109" s="9" t="n">
        <v>61</v>
      </c>
      <c r="J109" s="9" t="n">
        <v>1109</v>
      </c>
      <c r="K109" s="11" t="n">
        <v>0.524</v>
      </c>
      <c r="L109" s="11" t="n">
        <v>1</v>
      </c>
      <c r="M109" s="9" t="n">
        <v>1</v>
      </c>
      <c r="N109" s="11" t="n">
        <v>0.357</v>
      </c>
      <c r="O109" s="11" t="n">
        <v>0.904</v>
      </c>
      <c r="P109" s="12"/>
      <c r="Q109" s="12"/>
      <c r="R109" s="12"/>
      <c r="S109" s="12"/>
      <c r="T109" s="9" t="s">
        <v>336</v>
      </c>
      <c r="U109" s="9" t="s">
        <v>337</v>
      </c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 t="s">
        <v>339</v>
      </c>
      <c r="G110" s="10" t="s">
        <v>340</v>
      </c>
      <c r="H110" s="9"/>
      <c r="I110" s="9" t="n">
        <v>1</v>
      </c>
      <c r="J110" s="9" t="n">
        <v>13</v>
      </c>
      <c r="K110" s="11" t="n">
        <v>0.006</v>
      </c>
      <c r="L110" s="11" t="n">
        <v>1</v>
      </c>
      <c r="M110" s="9" t="n">
        <v>0</v>
      </c>
      <c r="N110" s="11" t="n">
        <v>1</v>
      </c>
      <c r="O110" s="11" t="n">
        <v>0.6</v>
      </c>
      <c r="P110" s="12"/>
      <c r="Q110" s="12"/>
      <c r="R110" s="12"/>
      <c r="S110" s="12"/>
      <c r="T110" s="9" t="s">
        <v>336</v>
      </c>
      <c r="U110" s="9" t="s">
        <v>340</v>
      </c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 t="s">
        <v>341</v>
      </c>
      <c r="G111" s="10" t="s">
        <v>342</v>
      </c>
      <c r="H111" s="9"/>
      <c r="I111" s="9" t="n">
        <v>1</v>
      </c>
      <c r="J111" s="9" t="n">
        <v>9</v>
      </c>
      <c r="K111" s="11" t="n">
        <v>0.004</v>
      </c>
      <c r="L111" s="11" t="n">
        <v>1</v>
      </c>
      <c r="M111" s="9" t="n">
        <v>0</v>
      </c>
      <c r="N111" s="11" t="n">
        <v>1</v>
      </c>
      <c r="O111" s="11" t="n">
        <v>0.6</v>
      </c>
      <c r="P111" s="12"/>
      <c r="Q111" s="12"/>
      <c r="R111" s="12"/>
      <c r="S111" s="12"/>
      <c r="T111" s="9" t="s">
        <v>336</v>
      </c>
      <c r="U111" s="9" t="s">
        <v>342</v>
      </c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 t="s">
        <v>332</v>
      </c>
      <c r="G112" s="10" t="s">
        <v>343</v>
      </c>
      <c r="H112" s="9"/>
      <c r="I112" s="9" t="n">
        <v>4</v>
      </c>
      <c r="J112" s="9" t="n">
        <v>0</v>
      </c>
      <c r="K112" s="11" t="n">
        <v>0</v>
      </c>
      <c r="L112" s="11" t="n">
        <v>1</v>
      </c>
      <c r="M112" s="9" t="n">
        <v>0</v>
      </c>
      <c r="N112" s="11" t="n">
        <v>1</v>
      </c>
      <c r="O112" s="11" t="n">
        <v>0.6</v>
      </c>
      <c r="P112" s="12"/>
      <c r="Q112" s="12"/>
      <c r="R112" s="12"/>
      <c r="S112" s="12"/>
      <c r="T112" s="9" t="s">
        <v>336</v>
      </c>
      <c r="U112" s="9" t="s">
        <v>343</v>
      </c>
    </row>
    <row r="113" customFormat="false" ht="15" hidden="false" customHeight="false" outlineLevel="0" collapsed="false">
      <c r="A113" s="7" t="s">
        <v>43</v>
      </c>
      <c r="B113" s="7" t="s">
        <v>344</v>
      </c>
      <c r="C113" s="8" t="s">
        <v>345</v>
      </c>
      <c r="D113" s="7" t="s">
        <v>346</v>
      </c>
      <c r="E113" s="7" t="n">
        <v>506</v>
      </c>
      <c r="F113" s="9" t="s">
        <v>344</v>
      </c>
      <c r="G113" s="10" t="s">
        <v>347</v>
      </c>
      <c r="H113" s="9" t="s">
        <v>345</v>
      </c>
      <c r="I113" s="9" t="n">
        <v>31</v>
      </c>
      <c r="J113" s="9" t="n">
        <v>326</v>
      </c>
      <c r="K113" s="11" t="n">
        <v>0.644</v>
      </c>
      <c r="L113" s="11" t="n">
        <v>1</v>
      </c>
      <c r="M113" s="9" t="n">
        <v>1</v>
      </c>
      <c r="N113" s="11" t="n">
        <v>0.632</v>
      </c>
      <c r="O113" s="11" t="n">
        <v>0.945</v>
      </c>
      <c r="P113" s="12"/>
      <c r="Q113" s="12"/>
      <c r="R113" s="12"/>
      <c r="S113" s="12"/>
      <c r="T113" s="9" t="s">
        <v>348</v>
      </c>
      <c r="U113" s="9" t="s">
        <v>347</v>
      </c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 t="s">
        <v>344</v>
      </c>
      <c r="G114" s="10" t="s">
        <v>349</v>
      </c>
      <c r="H114" s="9" t="s">
        <v>350</v>
      </c>
      <c r="I114" s="9" t="n">
        <v>70</v>
      </c>
      <c r="J114" s="9" t="n">
        <v>1155</v>
      </c>
      <c r="K114" s="11" t="n">
        <v>2.283</v>
      </c>
      <c r="L114" s="11" t="n">
        <v>1</v>
      </c>
      <c r="M114" s="9" t="n">
        <v>0.5</v>
      </c>
      <c r="N114" s="11" t="n">
        <v>1</v>
      </c>
      <c r="O114" s="11" t="n">
        <v>0.8</v>
      </c>
      <c r="P114" s="12"/>
      <c r="Q114" s="12"/>
      <c r="R114" s="12"/>
      <c r="S114" s="12"/>
      <c r="T114" s="9" t="s">
        <v>348</v>
      </c>
      <c r="U114" s="9" t="s">
        <v>349</v>
      </c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 t="s">
        <v>344</v>
      </c>
      <c r="G115" s="10" t="s">
        <v>351</v>
      </c>
      <c r="H115" s="9" t="s">
        <v>352</v>
      </c>
      <c r="I115" s="9" t="n">
        <v>7</v>
      </c>
      <c r="J115" s="9" t="n">
        <v>328</v>
      </c>
      <c r="K115" s="11" t="n">
        <v>0.648</v>
      </c>
      <c r="L115" s="11" t="n">
        <v>1</v>
      </c>
      <c r="M115" s="9" t="n">
        <v>0</v>
      </c>
      <c r="N115" s="11" t="n">
        <v>0.6</v>
      </c>
      <c r="O115" s="11" t="n">
        <v>0.64</v>
      </c>
      <c r="P115" s="12"/>
      <c r="Q115" s="12"/>
      <c r="R115" s="12"/>
      <c r="S115" s="12"/>
      <c r="T115" s="9" t="s">
        <v>348</v>
      </c>
      <c r="U115" s="9" t="s">
        <v>351</v>
      </c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 t="s">
        <v>344</v>
      </c>
      <c r="G116" s="10" t="s">
        <v>353</v>
      </c>
      <c r="H116" s="9" t="s">
        <v>354</v>
      </c>
      <c r="I116" s="9" t="n">
        <v>15</v>
      </c>
      <c r="J116" s="9" t="n">
        <v>185</v>
      </c>
      <c r="K116" s="11" t="n">
        <v>0.366</v>
      </c>
      <c r="L116" s="11" t="n">
        <v>1</v>
      </c>
      <c r="M116" s="9" t="n">
        <v>0</v>
      </c>
      <c r="N116" s="11" t="n">
        <v>0.6</v>
      </c>
      <c r="O116" s="11" t="n">
        <v>0.64</v>
      </c>
      <c r="P116" s="12"/>
      <c r="Q116" s="12"/>
      <c r="R116" s="12"/>
      <c r="S116" s="12"/>
      <c r="T116" s="9" t="s">
        <v>348</v>
      </c>
      <c r="U116" s="9" t="s">
        <v>353</v>
      </c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 t="s">
        <v>344</v>
      </c>
      <c r="G117" s="10" t="s">
        <v>355</v>
      </c>
      <c r="H117" s="9"/>
      <c r="I117" s="9" t="n">
        <v>8</v>
      </c>
      <c r="J117" s="9" t="n">
        <v>20</v>
      </c>
      <c r="K117" s="11" t="n">
        <v>0.04</v>
      </c>
      <c r="L117" s="11" t="n">
        <v>1</v>
      </c>
      <c r="M117" s="9" t="n">
        <v>0</v>
      </c>
      <c r="N117" s="11" t="n">
        <v>0.833</v>
      </c>
      <c r="O117" s="11" t="n">
        <v>0.625</v>
      </c>
      <c r="P117" s="12"/>
      <c r="Q117" s="12"/>
      <c r="R117" s="12"/>
      <c r="S117" s="12"/>
      <c r="T117" s="9" t="s">
        <v>348</v>
      </c>
      <c r="U117" s="9" t="s">
        <v>355</v>
      </c>
    </row>
    <row r="118" customFormat="false" ht="15" hidden="false" customHeight="false" outlineLevel="0" collapsed="false">
      <c r="A118" s="7" t="s">
        <v>43</v>
      </c>
      <c r="B118" s="7" t="s">
        <v>356</v>
      </c>
      <c r="C118" s="8" t="s">
        <v>357</v>
      </c>
      <c r="D118" s="7" t="s">
        <v>358</v>
      </c>
      <c r="E118" s="7" t="n">
        <v>61901</v>
      </c>
      <c r="F118" s="9" t="s">
        <v>359</v>
      </c>
      <c r="G118" s="10" t="s">
        <v>360</v>
      </c>
      <c r="H118" s="9" t="s">
        <v>361</v>
      </c>
      <c r="I118" s="9" t="n">
        <v>283</v>
      </c>
      <c r="J118" s="9" t="n">
        <v>38437</v>
      </c>
      <c r="K118" s="11" t="n">
        <v>0.65</v>
      </c>
      <c r="L118" s="11" t="n">
        <v>1</v>
      </c>
      <c r="M118" s="9" t="n">
        <v>1</v>
      </c>
      <c r="N118" s="11" t="n">
        <v>0.896</v>
      </c>
      <c r="O118" s="11" t="n">
        <v>0.984</v>
      </c>
      <c r="P118" s="12"/>
      <c r="Q118" s="12"/>
      <c r="R118" s="12"/>
      <c r="S118" s="12"/>
      <c r="T118" s="9" t="s">
        <v>362</v>
      </c>
      <c r="U118" s="9" t="s">
        <v>360</v>
      </c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 t="s">
        <v>363</v>
      </c>
      <c r="G119" s="10" t="s">
        <v>364</v>
      </c>
      <c r="H119" s="9" t="s">
        <v>365</v>
      </c>
      <c r="I119" s="9" t="n">
        <v>225</v>
      </c>
      <c r="J119" s="9" t="n">
        <v>16781</v>
      </c>
      <c r="K119" s="11" t="n">
        <v>0.284</v>
      </c>
      <c r="L119" s="11" t="n">
        <v>1</v>
      </c>
      <c r="M119" s="9" t="n">
        <v>1</v>
      </c>
      <c r="N119" s="11" t="n">
        <v>0</v>
      </c>
      <c r="O119" s="11" t="n">
        <v>0.85</v>
      </c>
      <c r="P119" s="12"/>
      <c r="Q119" s="12"/>
      <c r="R119" s="12"/>
      <c r="S119" s="12"/>
      <c r="T119" s="9" t="s">
        <v>362</v>
      </c>
      <c r="U119" s="9" t="s">
        <v>364</v>
      </c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 t="s">
        <v>363</v>
      </c>
      <c r="G120" s="10" t="s">
        <v>366</v>
      </c>
      <c r="H120" s="9" t="s">
        <v>361</v>
      </c>
      <c r="I120" s="9" t="n">
        <v>9</v>
      </c>
      <c r="J120" s="9" t="n">
        <v>3</v>
      </c>
      <c r="K120" s="11" t="n">
        <v>0</v>
      </c>
      <c r="L120" s="11" t="n">
        <v>1</v>
      </c>
      <c r="M120" s="9" t="n">
        <v>1</v>
      </c>
      <c r="N120" s="11" t="n">
        <v>0</v>
      </c>
      <c r="O120" s="11" t="n">
        <v>0.75</v>
      </c>
      <c r="P120" s="12"/>
      <c r="Q120" s="12"/>
      <c r="R120" s="12"/>
      <c r="S120" s="12"/>
      <c r="T120" s="9" t="s">
        <v>362</v>
      </c>
      <c r="U120" s="9" t="s">
        <v>366</v>
      </c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 t="s">
        <v>356</v>
      </c>
      <c r="G121" s="10" t="s">
        <v>367</v>
      </c>
      <c r="H121" s="9"/>
      <c r="I121" s="9" t="n">
        <v>11</v>
      </c>
      <c r="J121" s="9" t="n">
        <v>995</v>
      </c>
      <c r="K121" s="11" t="n">
        <v>0.017</v>
      </c>
      <c r="L121" s="11" t="n">
        <v>1</v>
      </c>
      <c r="M121" s="9" t="n">
        <v>0.5</v>
      </c>
      <c r="N121" s="11" t="n">
        <v>0.789</v>
      </c>
      <c r="O121" s="11" t="n">
        <v>0.718</v>
      </c>
      <c r="P121" s="12"/>
      <c r="Q121" s="12"/>
      <c r="R121" s="12"/>
      <c r="S121" s="12"/>
      <c r="T121" s="9" t="s">
        <v>362</v>
      </c>
      <c r="U121" s="9" t="s">
        <v>367</v>
      </c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 t="s">
        <v>368</v>
      </c>
      <c r="G122" s="10" t="s">
        <v>369</v>
      </c>
      <c r="H122" s="9" t="s">
        <v>370</v>
      </c>
      <c r="I122" s="9" t="n">
        <v>81</v>
      </c>
      <c r="J122" s="9" t="n">
        <v>3827</v>
      </c>
      <c r="K122" s="11" t="n">
        <v>0.065</v>
      </c>
      <c r="L122" s="11" t="n">
        <v>1</v>
      </c>
      <c r="M122" s="9" t="n">
        <v>0</v>
      </c>
      <c r="N122" s="11" t="n">
        <v>0.881</v>
      </c>
      <c r="O122" s="11" t="n">
        <v>0.632</v>
      </c>
      <c r="P122" s="12"/>
      <c r="Q122" s="12"/>
      <c r="R122" s="12"/>
      <c r="S122" s="12"/>
      <c r="T122" s="9" t="s">
        <v>362</v>
      </c>
      <c r="U122" s="9" t="s">
        <v>369</v>
      </c>
    </row>
    <row r="123" customFormat="false" ht="15" hidden="false" customHeight="false" outlineLevel="0" collapsed="false">
      <c r="A123" s="7" t="s">
        <v>43</v>
      </c>
      <c r="B123" s="7" t="s">
        <v>371</v>
      </c>
      <c r="C123" s="8" t="s">
        <v>372</v>
      </c>
      <c r="D123" s="7" t="s">
        <v>373</v>
      </c>
      <c r="E123" s="7" t="n">
        <v>1008</v>
      </c>
      <c r="F123" s="9" t="s">
        <v>374</v>
      </c>
      <c r="G123" s="10" t="s">
        <v>375</v>
      </c>
      <c r="H123" s="9" t="s">
        <v>372</v>
      </c>
      <c r="I123" s="9" t="n">
        <v>44</v>
      </c>
      <c r="J123" s="9" t="n">
        <v>870</v>
      </c>
      <c r="K123" s="11" t="n">
        <v>0.929</v>
      </c>
      <c r="L123" s="11" t="n">
        <v>1</v>
      </c>
      <c r="M123" s="9" t="n">
        <v>1</v>
      </c>
      <c r="N123" s="11" t="n">
        <v>0.886</v>
      </c>
      <c r="O123" s="11" t="n">
        <v>0.983</v>
      </c>
      <c r="P123" s="12"/>
      <c r="Q123" s="12"/>
      <c r="R123" s="12"/>
      <c r="S123" s="12"/>
      <c r="T123" s="9" t="s">
        <v>376</v>
      </c>
      <c r="U123" s="9" t="s">
        <v>375</v>
      </c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 t="s">
        <v>377</v>
      </c>
      <c r="G124" s="10" t="s">
        <v>378</v>
      </c>
      <c r="H124" s="9"/>
      <c r="I124" s="9" t="n">
        <v>11</v>
      </c>
      <c r="J124" s="9" t="n">
        <v>13</v>
      </c>
      <c r="K124" s="11" t="n">
        <v>0.014</v>
      </c>
      <c r="L124" s="11" t="n">
        <v>1</v>
      </c>
      <c r="M124" s="9" t="n">
        <v>1</v>
      </c>
      <c r="N124" s="11" t="n">
        <v>0.667</v>
      </c>
      <c r="O124" s="11" t="n">
        <v>0.85</v>
      </c>
      <c r="P124" s="12"/>
      <c r="Q124" s="12"/>
      <c r="R124" s="12"/>
      <c r="S124" s="12"/>
      <c r="T124" s="9" t="s">
        <v>376</v>
      </c>
      <c r="U124" s="9" t="s">
        <v>378</v>
      </c>
    </row>
    <row r="125" customFormat="false" ht="15" hidden="false" customHeight="false" outlineLevel="0" collapsed="false">
      <c r="A125" s="7" t="s">
        <v>43</v>
      </c>
      <c r="B125" s="7" t="s">
        <v>379</v>
      </c>
      <c r="C125" s="8" t="s">
        <v>380</v>
      </c>
      <c r="D125" s="7" t="s">
        <v>381</v>
      </c>
      <c r="E125" s="7" t="n">
        <v>1680</v>
      </c>
      <c r="F125" s="9" t="s">
        <v>382</v>
      </c>
      <c r="G125" s="10" t="s">
        <v>383</v>
      </c>
      <c r="H125" s="9" t="s">
        <v>384</v>
      </c>
      <c r="I125" s="9" t="n">
        <v>108</v>
      </c>
      <c r="J125" s="9" t="n">
        <v>732</v>
      </c>
      <c r="K125" s="11" t="n">
        <v>0.497</v>
      </c>
      <c r="L125" s="11" t="n">
        <v>1</v>
      </c>
      <c r="M125" s="9" t="n">
        <v>1</v>
      </c>
      <c r="N125" s="11" t="n">
        <v>1</v>
      </c>
      <c r="O125" s="11" t="n">
        <v>1</v>
      </c>
      <c r="P125" s="12"/>
      <c r="Q125" s="12"/>
      <c r="R125" s="12"/>
      <c r="S125" s="12"/>
      <c r="T125" s="9" t="s">
        <v>385</v>
      </c>
      <c r="U125" s="9" t="s">
        <v>383</v>
      </c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 t="s">
        <v>386</v>
      </c>
      <c r="G126" s="10" t="s">
        <v>387</v>
      </c>
      <c r="H126" s="9" t="s">
        <v>380</v>
      </c>
      <c r="I126" s="9" t="n">
        <v>10</v>
      </c>
      <c r="J126" s="9" t="n">
        <v>46</v>
      </c>
      <c r="K126" s="11" t="n">
        <v>0.031</v>
      </c>
      <c r="L126" s="11" t="n">
        <v>1</v>
      </c>
      <c r="M126" s="9" t="n">
        <v>1</v>
      </c>
      <c r="N126" s="11" t="n">
        <v>1</v>
      </c>
      <c r="O126" s="11" t="n">
        <v>0.95</v>
      </c>
      <c r="P126" s="12"/>
      <c r="Q126" s="12"/>
      <c r="R126" s="12"/>
      <c r="S126" s="12"/>
      <c r="T126" s="9" t="s">
        <v>385</v>
      </c>
      <c r="U126" s="9" t="s">
        <v>387</v>
      </c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 t="s">
        <v>388</v>
      </c>
      <c r="G127" s="10" t="s">
        <v>389</v>
      </c>
      <c r="H127" s="9" t="s">
        <v>380</v>
      </c>
      <c r="I127" s="9" t="n">
        <v>1</v>
      </c>
      <c r="J127" s="9" t="n">
        <v>21</v>
      </c>
      <c r="K127" s="11" t="n">
        <v>0.014</v>
      </c>
      <c r="L127" s="11" t="n">
        <v>1</v>
      </c>
      <c r="M127" s="9" t="n">
        <v>1</v>
      </c>
      <c r="N127" s="11" t="n">
        <v>1</v>
      </c>
      <c r="O127" s="11" t="n">
        <v>0.9</v>
      </c>
      <c r="P127" s="12"/>
      <c r="Q127" s="12"/>
      <c r="R127" s="12"/>
      <c r="S127" s="12"/>
      <c r="T127" s="9" t="s">
        <v>385</v>
      </c>
      <c r="U127" s="9" t="s">
        <v>389</v>
      </c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 t="s">
        <v>390</v>
      </c>
      <c r="G128" s="10" t="s">
        <v>391</v>
      </c>
      <c r="H128" s="9" t="s">
        <v>392</v>
      </c>
      <c r="I128" s="9" t="n">
        <v>3</v>
      </c>
      <c r="J128" s="9" t="n">
        <v>53</v>
      </c>
      <c r="K128" s="11" t="n">
        <v>0.036</v>
      </c>
      <c r="L128" s="11" t="n">
        <v>1</v>
      </c>
      <c r="M128" s="9" t="n">
        <v>0</v>
      </c>
      <c r="N128" s="11" t="n">
        <v>1</v>
      </c>
      <c r="O128" s="11" t="n">
        <v>0.65</v>
      </c>
      <c r="P128" s="12"/>
      <c r="Q128" s="12"/>
      <c r="R128" s="12"/>
      <c r="S128" s="12"/>
      <c r="T128" s="9" t="s">
        <v>385</v>
      </c>
      <c r="U128" s="9" t="s">
        <v>391</v>
      </c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 t="s">
        <v>393</v>
      </c>
      <c r="G129" s="10" t="s">
        <v>394</v>
      </c>
      <c r="H129" s="9"/>
      <c r="I129" s="9" t="n">
        <v>1</v>
      </c>
      <c r="J129" s="9" t="n">
        <v>0</v>
      </c>
      <c r="K129" s="11" t="n">
        <v>0</v>
      </c>
      <c r="L129" s="11" t="n">
        <v>1</v>
      </c>
      <c r="M129" s="9" t="n">
        <v>0</v>
      </c>
      <c r="N129" s="11" t="n">
        <v>1</v>
      </c>
      <c r="O129" s="11" t="n">
        <v>0.6</v>
      </c>
      <c r="P129" s="12"/>
      <c r="Q129" s="12"/>
      <c r="R129" s="12"/>
      <c r="S129" s="12"/>
      <c r="T129" s="9" t="s">
        <v>385</v>
      </c>
      <c r="U129" s="9" t="s">
        <v>394</v>
      </c>
    </row>
    <row r="130" customFormat="false" ht="15" hidden="false" customHeight="false" outlineLevel="0" collapsed="false">
      <c r="A130" s="7" t="s">
        <v>43</v>
      </c>
      <c r="B130" s="7" t="s">
        <v>395</v>
      </c>
      <c r="C130" s="8" t="s">
        <v>396</v>
      </c>
      <c r="D130" s="7" t="s">
        <v>397</v>
      </c>
      <c r="E130" s="7" t="n">
        <v>897</v>
      </c>
      <c r="F130" s="9" t="s">
        <v>395</v>
      </c>
      <c r="G130" s="10" t="s">
        <v>398</v>
      </c>
      <c r="H130" s="9" t="s">
        <v>399</v>
      </c>
      <c r="I130" s="9" t="n">
        <v>96</v>
      </c>
      <c r="J130" s="9" t="n">
        <v>213</v>
      </c>
      <c r="K130" s="11" t="n">
        <v>0.267</v>
      </c>
      <c r="L130" s="11" t="n">
        <v>1</v>
      </c>
      <c r="M130" s="9" t="n">
        <v>1</v>
      </c>
      <c r="N130" s="11" t="n">
        <v>1</v>
      </c>
      <c r="O130" s="11" t="n">
        <v>1</v>
      </c>
      <c r="P130" s="12"/>
      <c r="Q130" s="12"/>
      <c r="R130" s="12"/>
      <c r="S130" s="12"/>
      <c r="T130" s="9" t="s">
        <v>400</v>
      </c>
      <c r="U130" s="9" t="s">
        <v>398</v>
      </c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 t="s">
        <v>401</v>
      </c>
      <c r="G131" s="10" t="s">
        <v>402</v>
      </c>
      <c r="H131" s="9" t="s">
        <v>403</v>
      </c>
      <c r="I131" s="9" t="n">
        <v>25</v>
      </c>
      <c r="J131" s="9" t="n">
        <v>133</v>
      </c>
      <c r="K131" s="11" t="n">
        <v>0.167</v>
      </c>
      <c r="L131" s="11" t="n">
        <v>1</v>
      </c>
      <c r="M131" s="9" t="n">
        <v>1</v>
      </c>
      <c r="N131" s="11" t="n">
        <v>0.667</v>
      </c>
      <c r="O131" s="11" t="n">
        <v>0.95</v>
      </c>
      <c r="P131" s="12"/>
      <c r="Q131" s="12"/>
      <c r="R131" s="12"/>
      <c r="S131" s="12"/>
      <c r="T131" s="9" t="s">
        <v>400</v>
      </c>
      <c r="U131" s="9" t="s">
        <v>402</v>
      </c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 t="s">
        <v>395</v>
      </c>
      <c r="G132" s="10" t="s">
        <v>404</v>
      </c>
      <c r="H132" s="9" t="s">
        <v>396</v>
      </c>
      <c r="I132" s="9" t="n">
        <v>1</v>
      </c>
      <c r="J132" s="9" t="n">
        <v>0</v>
      </c>
      <c r="K132" s="11" t="n">
        <v>0</v>
      </c>
      <c r="L132" s="11" t="n">
        <v>1</v>
      </c>
      <c r="M132" s="9" t="n">
        <v>1</v>
      </c>
      <c r="N132" s="11" t="n">
        <v>1</v>
      </c>
      <c r="O132" s="11" t="n">
        <v>0.9</v>
      </c>
      <c r="P132" s="12"/>
      <c r="Q132" s="12"/>
      <c r="R132" s="12"/>
      <c r="S132" s="12"/>
      <c r="T132" s="9" t="s">
        <v>400</v>
      </c>
      <c r="U132" s="9" t="s">
        <v>404</v>
      </c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 t="s">
        <v>395</v>
      </c>
      <c r="G133" s="10" t="s">
        <v>405</v>
      </c>
      <c r="H133" s="9" t="s">
        <v>396</v>
      </c>
      <c r="I133" s="9" t="n">
        <v>1</v>
      </c>
      <c r="J133" s="9" t="n">
        <v>0</v>
      </c>
      <c r="K133" s="11" t="n">
        <v>0</v>
      </c>
      <c r="L133" s="11" t="n">
        <v>1</v>
      </c>
      <c r="M133" s="9" t="n">
        <v>1</v>
      </c>
      <c r="N133" s="11" t="n">
        <v>1</v>
      </c>
      <c r="O133" s="11" t="n">
        <v>0.9</v>
      </c>
      <c r="P133" s="12"/>
      <c r="Q133" s="12"/>
      <c r="R133" s="12"/>
      <c r="S133" s="12"/>
      <c r="T133" s="9" t="s">
        <v>400</v>
      </c>
      <c r="U133" s="9" t="s">
        <v>405</v>
      </c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 t="s">
        <v>395</v>
      </c>
      <c r="G134" s="10" t="s">
        <v>406</v>
      </c>
      <c r="H134" s="9" t="s">
        <v>396</v>
      </c>
      <c r="I134" s="9" t="n">
        <v>1</v>
      </c>
      <c r="J134" s="9" t="n">
        <v>0</v>
      </c>
      <c r="K134" s="11" t="n">
        <v>0</v>
      </c>
      <c r="L134" s="11" t="n">
        <v>1</v>
      </c>
      <c r="M134" s="9" t="n">
        <v>1</v>
      </c>
      <c r="N134" s="11" t="n">
        <v>1</v>
      </c>
      <c r="O134" s="11" t="n">
        <v>0.9</v>
      </c>
      <c r="P134" s="12"/>
      <c r="Q134" s="12"/>
      <c r="R134" s="12"/>
      <c r="S134" s="12"/>
      <c r="T134" s="9" t="s">
        <v>400</v>
      </c>
      <c r="U134" s="9" t="s">
        <v>406</v>
      </c>
    </row>
    <row r="135" customFormat="false" ht="15" hidden="false" customHeight="false" outlineLevel="0" collapsed="false">
      <c r="A135" s="7" t="s">
        <v>43</v>
      </c>
      <c r="B135" s="7" t="s">
        <v>407</v>
      </c>
      <c r="C135" s="8" t="s">
        <v>408</v>
      </c>
      <c r="D135" s="7" t="s">
        <v>409</v>
      </c>
      <c r="E135" s="7" t="n">
        <v>2930</v>
      </c>
      <c r="F135" s="9" t="s">
        <v>410</v>
      </c>
      <c r="G135" s="10" t="s">
        <v>411</v>
      </c>
      <c r="H135" s="9"/>
      <c r="I135" s="9" t="n">
        <v>74</v>
      </c>
      <c r="J135" s="9" t="n">
        <v>1583</v>
      </c>
      <c r="K135" s="11" t="n">
        <v>0.56</v>
      </c>
      <c r="L135" s="11" t="n">
        <v>1</v>
      </c>
      <c r="M135" s="9" t="n">
        <v>1</v>
      </c>
      <c r="N135" s="11" t="n">
        <v>1</v>
      </c>
      <c r="O135" s="11" t="n">
        <v>1</v>
      </c>
      <c r="P135" s="12"/>
      <c r="Q135" s="12"/>
      <c r="R135" s="12"/>
      <c r="S135" s="12"/>
      <c r="T135" s="9" t="s">
        <v>412</v>
      </c>
      <c r="U135" s="9" t="s">
        <v>411</v>
      </c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 t="s">
        <v>413</v>
      </c>
      <c r="G136" s="10" t="s">
        <v>414</v>
      </c>
      <c r="H136" s="9"/>
      <c r="I136" s="9" t="n">
        <v>23</v>
      </c>
      <c r="J136" s="9" t="n">
        <v>70</v>
      </c>
      <c r="K136" s="11" t="n">
        <v>0.025</v>
      </c>
      <c r="L136" s="11" t="n">
        <v>1</v>
      </c>
      <c r="M136" s="9" t="n">
        <v>1</v>
      </c>
      <c r="N136" s="11" t="n">
        <v>1</v>
      </c>
      <c r="O136" s="11" t="n">
        <v>0.9</v>
      </c>
      <c r="P136" s="12"/>
      <c r="Q136" s="12"/>
      <c r="R136" s="12"/>
      <c r="S136" s="12"/>
      <c r="T136" s="9" t="s">
        <v>412</v>
      </c>
      <c r="U136" s="9" t="s">
        <v>414</v>
      </c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 t="s">
        <v>415</v>
      </c>
      <c r="G137" s="10" t="s">
        <v>416</v>
      </c>
      <c r="H137" s="9" t="s">
        <v>408</v>
      </c>
      <c r="I137" s="9" t="n">
        <v>1</v>
      </c>
      <c r="J137" s="9" t="n">
        <v>3</v>
      </c>
      <c r="K137" s="11" t="n">
        <v>0.001</v>
      </c>
      <c r="L137" s="11" t="n">
        <v>0.826</v>
      </c>
      <c r="M137" s="9" t="n">
        <v>1</v>
      </c>
      <c r="N137" s="11" t="n">
        <v>1</v>
      </c>
      <c r="O137" s="11" t="n">
        <v>0.822</v>
      </c>
      <c r="P137" s="12"/>
      <c r="Q137" s="12"/>
      <c r="R137" s="12"/>
      <c r="S137" s="12"/>
      <c r="T137" s="9" t="s">
        <v>412</v>
      </c>
      <c r="U137" s="9" t="s">
        <v>416</v>
      </c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 t="s">
        <v>417</v>
      </c>
      <c r="G138" s="10" t="s">
        <v>418</v>
      </c>
      <c r="H138" s="9"/>
      <c r="I138" s="9" t="n">
        <v>3</v>
      </c>
      <c r="J138" s="9" t="n">
        <v>16</v>
      </c>
      <c r="K138" s="11" t="n">
        <v>0.006</v>
      </c>
      <c r="L138" s="11" t="n">
        <v>1</v>
      </c>
      <c r="M138" s="9" t="n">
        <v>0</v>
      </c>
      <c r="N138" s="11" t="n">
        <v>1</v>
      </c>
      <c r="O138" s="11" t="n">
        <v>0.6</v>
      </c>
      <c r="P138" s="12"/>
      <c r="Q138" s="12"/>
      <c r="R138" s="12"/>
      <c r="S138" s="12"/>
      <c r="T138" s="9" t="s">
        <v>412</v>
      </c>
      <c r="U138" s="9" t="s">
        <v>418</v>
      </c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 t="s">
        <v>410</v>
      </c>
      <c r="G139" s="10" t="s">
        <v>419</v>
      </c>
      <c r="H139" s="9"/>
      <c r="I139" s="9" t="n">
        <v>1</v>
      </c>
      <c r="J139" s="9" t="n">
        <v>0</v>
      </c>
      <c r="K139" s="11" t="n">
        <v>0</v>
      </c>
      <c r="L139" s="11" t="n">
        <v>1</v>
      </c>
      <c r="M139" s="9" t="n">
        <v>0</v>
      </c>
      <c r="N139" s="11" t="n">
        <v>1</v>
      </c>
      <c r="O139" s="11" t="n">
        <v>0.6</v>
      </c>
      <c r="P139" s="12"/>
      <c r="Q139" s="12"/>
      <c r="R139" s="12"/>
      <c r="S139" s="12"/>
      <c r="T139" s="9" t="s">
        <v>412</v>
      </c>
      <c r="U139" s="9" t="s">
        <v>419</v>
      </c>
    </row>
    <row r="140" customFormat="false" ht="15" hidden="false" customHeight="false" outlineLevel="0" collapsed="false">
      <c r="A140" s="7" t="s">
        <v>43</v>
      </c>
      <c r="B140" s="7" t="s">
        <v>420</v>
      </c>
      <c r="C140" s="8" t="s">
        <v>421</v>
      </c>
      <c r="D140" s="7" t="s">
        <v>422</v>
      </c>
      <c r="E140" s="7" t="n">
        <v>7513</v>
      </c>
      <c r="F140" s="9" t="s">
        <v>420</v>
      </c>
      <c r="G140" s="10" t="s">
        <v>423</v>
      </c>
      <c r="H140" s="9" t="s">
        <v>424</v>
      </c>
      <c r="I140" s="9" t="n">
        <v>172</v>
      </c>
      <c r="J140" s="9" t="n">
        <v>2315</v>
      </c>
      <c r="K140" s="11" t="n">
        <v>0.315</v>
      </c>
      <c r="L140" s="11" t="n">
        <v>1</v>
      </c>
      <c r="M140" s="9" t="n">
        <v>1</v>
      </c>
      <c r="N140" s="11" t="n">
        <v>1</v>
      </c>
      <c r="O140" s="11" t="n">
        <v>1</v>
      </c>
      <c r="P140" s="12"/>
      <c r="Q140" s="12"/>
      <c r="R140" s="12"/>
      <c r="S140" s="12"/>
      <c r="T140" s="9" t="s">
        <v>425</v>
      </c>
      <c r="U140" s="9" t="s">
        <v>423</v>
      </c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 t="s">
        <v>426</v>
      </c>
      <c r="G141" s="10" t="s">
        <v>427</v>
      </c>
      <c r="H141" s="9" t="s">
        <v>428</v>
      </c>
      <c r="I141" s="9" t="n">
        <v>143</v>
      </c>
      <c r="J141" s="9" t="n">
        <v>3798</v>
      </c>
      <c r="K141" s="11" t="n">
        <v>0.517</v>
      </c>
      <c r="L141" s="11" t="n">
        <v>1</v>
      </c>
      <c r="M141" s="9" t="n">
        <v>1</v>
      </c>
      <c r="N141" s="11" t="n">
        <v>0.825</v>
      </c>
      <c r="O141" s="11" t="n">
        <v>0.974</v>
      </c>
      <c r="P141" s="12"/>
      <c r="Q141" s="12"/>
      <c r="R141" s="12"/>
      <c r="S141" s="12"/>
      <c r="T141" s="9" t="s">
        <v>425</v>
      </c>
      <c r="U141" s="9" t="s">
        <v>427</v>
      </c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 t="s">
        <v>420</v>
      </c>
      <c r="G142" s="10" t="s">
        <v>429</v>
      </c>
      <c r="H142" s="9" t="s">
        <v>201</v>
      </c>
      <c r="I142" s="9" t="n">
        <v>629</v>
      </c>
      <c r="J142" s="9" t="n">
        <v>12186</v>
      </c>
      <c r="K142" s="11" t="n">
        <v>1.66</v>
      </c>
      <c r="L142" s="11" t="n">
        <v>1</v>
      </c>
      <c r="M142" s="9" t="n">
        <v>1</v>
      </c>
      <c r="N142" s="11" t="n">
        <v>0.612</v>
      </c>
      <c r="O142" s="11" t="n">
        <v>0.892</v>
      </c>
      <c r="P142" s="12"/>
      <c r="Q142" s="12"/>
      <c r="R142" s="12"/>
      <c r="S142" s="12"/>
      <c r="T142" s="9" t="s">
        <v>425</v>
      </c>
      <c r="U142" s="9" t="s">
        <v>429</v>
      </c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 t="s">
        <v>430</v>
      </c>
      <c r="G143" s="10" t="s">
        <v>431</v>
      </c>
      <c r="H143" s="9"/>
      <c r="I143" s="9" t="n">
        <v>57</v>
      </c>
      <c r="J143" s="9" t="n">
        <v>4705</v>
      </c>
      <c r="K143" s="11" t="n">
        <v>0.641</v>
      </c>
      <c r="L143" s="11" t="n">
        <v>1</v>
      </c>
      <c r="M143" s="9" t="n">
        <v>0</v>
      </c>
      <c r="N143" s="11" t="n">
        <v>0.852</v>
      </c>
      <c r="O143" s="11" t="n">
        <v>0.678</v>
      </c>
      <c r="P143" s="12"/>
      <c r="Q143" s="12"/>
      <c r="R143" s="12"/>
      <c r="S143" s="12"/>
      <c r="T143" s="9" t="s">
        <v>425</v>
      </c>
      <c r="U143" s="9" t="s">
        <v>431</v>
      </c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 t="s">
        <v>432</v>
      </c>
      <c r="G144" s="10" t="s">
        <v>433</v>
      </c>
      <c r="H144" s="9"/>
      <c r="I144" s="9" t="n">
        <v>5</v>
      </c>
      <c r="J144" s="9" t="n">
        <v>650</v>
      </c>
      <c r="K144" s="11" t="n">
        <v>0.089</v>
      </c>
      <c r="L144" s="11" t="n">
        <v>1</v>
      </c>
      <c r="M144" s="9" t="n">
        <v>0</v>
      </c>
      <c r="N144" s="11" t="n">
        <v>0.8</v>
      </c>
      <c r="O144" s="11" t="n">
        <v>0.62</v>
      </c>
      <c r="P144" s="12"/>
      <c r="Q144" s="12"/>
      <c r="R144" s="12"/>
      <c r="S144" s="12"/>
      <c r="T144" s="9" t="s">
        <v>425</v>
      </c>
      <c r="U144" s="9" t="s">
        <v>433</v>
      </c>
    </row>
    <row r="145" customFormat="false" ht="15" hidden="false" customHeight="false" outlineLevel="0" collapsed="false">
      <c r="A145" s="7" t="s">
        <v>43</v>
      </c>
      <c r="B145" s="7" t="s">
        <v>434</v>
      </c>
      <c r="C145" s="8" t="s">
        <v>74</v>
      </c>
      <c r="D145" s="7" t="s">
        <v>320</v>
      </c>
      <c r="E145" s="7" t="n">
        <v>1228</v>
      </c>
      <c r="F145" s="9" t="s">
        <v>434</v>
      </c>
      <c r="G145" s="10" t="s">
        <v>435</v>
      </c>
      <c r="H145" s="9" t="s">
        <v>436</v>
      </c>
      <c r="I145" s="9" t="n">
        <v>54</v>
      </c>
      <c r="J145" s="9" t="n">
        <v>751</v>
      </c>
      <c r="K145" s="11" t="n">
        <v>0.658</v>
      </c>
      <c r="L145" s="11" t="n">
        <v>1</v>
      </c>
      <c r="M145" s="9" t="n">
        <v>1</v>
      </c>
      <c r="N145" s="11" t="n">
        <v>0.918</v>
      </c>
      <c r="O145" s="11" t="n">
        <v>0.988</v>
      </c>
      <c r="P145" s="12"/>
      <c r="Q145" s="12"/>
      <c r="R145" s="12"/>
      <c r="S145" s="12"/>
      <c r="T145" s="9" t="s">
        <v>437</v>
      </c>
      <c r="U145" s="9" t="s">
        <v>435</v>
      </c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 t="s">
        <v>438</v>
      </c>
      <c r="G146" s="10" t="s">
        <v>439</v>
      </c>
      <c r="H146" s="9"/>
      <c r="I146" s="9" t="n">
        <v>102</v>
      </c>
      <c r="J146" s="9" t="n">
        <v>1408</v>
      </c>
      <c r="K146" s="11" t="n">
        <v>1.234</v>
      </c>
      <c r="L146" s="11" t="n">
        <v>1</v>
      </c>
      <c r="M146" s="9" t="n">
        <v>0.5</v>
      </c>
      <c r="N146" s="11" t="n">
        <v>1</v>
      </c>
      <c r="O146" s="11" t="n">
        <v>0.85</v>
      </c>
      <c r="P146" s="12"/>
      <c r="Q146" s="12"/>
      <c r="R146" s="12"/>
      <c r="S146" s="12"/>
      <c r="T146" s="9" t="s">
        <v>437</v>
      </c>
      <c r="U146" s="9" t="s">
        <v>439</v>
      </c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 t="s">
        <v>440</v>
      </c>
      <c r="G147" s="10" t="s">
        <v>441</v>
      </c>
      <c r="H147" s="9"/>
      <c r="I147" s="9" t="n">
        <v>8</v>
      </c>
      <c r="J147" s="9" t="n">
        <v>36</v>
      </c>
      <c r="K147" s="11" t="n">
        <v>0.032</v>
      </c>
      <c r="L147" s="11" t="n">
        <v>1</v>
      </c>
      <c r="M147" s="9" t="n">
        <v>0</v>
      </c>
      <c r="N147" s="11" t="n">
        <v>0.714</v>
      </c>
      <c r="O147" s="11" t="n">
        <v>0.607</v>
      </c>
      <c r="P147" s="12"/>
      <c r="Q147" s="12"/>
      <c r="R147" s="12"/>
      <c r="S147" s="12"/>
      <c r="T147" s="9" t="s">
        <v>437</v>
      </c>
      <c r="U147" s="9" t="s">
        <v>441</v>
      </c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 t="s">
        <v>434</v>
      </c>
      <c r="G148" s="10" t="s">
        <v>442</v>
      </c>
      <c r="H148" s="9"/>
      <c r="I148" s="9" t="n">
        <v>30</v>
      </c>
      <c r="J148" s="9" t="n">
        <v>320</v>
      </c>
      <c r="K148" s="11" t="n">
        <v>0.28</v>
      </c>
      <c r="L148" s="11" t="n">
        <v>1</v>
      </c>
      <c r="M148" s="9" t="n">
        <v>0</v>
      </c>
      <c r="N148" s="11" t="n">
        <v>0.333</v>
      </c>
      <c r="O148" s="11" t="n">
        <v>0.6</v>
      </c>
      <c r="P148" s="12"/>
      <c r="Q148" s="12"/>
      <c r="R148" s="12"/>
      <c r="S148" s="12"/>
      <c r="T148" s="9" t="s">
        <v>437</v>
      </c>
      <c r="U148" s="9" t="s">
        <v>442</v>
      </c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 t="s">
        <v>438</v>
      </c>
      <c r="G149" s="10" t="s">
        <v>443</v>
      </c>
      <c r="H149" s="9" t="s">
        <v>444</v>
      </c>
      <c r="I149" s="9" t="n">
        <v>1</v>
      </c>
      <c r="J149" s="9" t="n">
        <v>2</v>
      </c>
      <c r="K149" s="11" t="n">
        <v>0.002</v>
      </c>
      <c r="L149" s="11" t="n">
        <v>1</v>
      </c>
      <c r="M149" s="9" t="n">
        <v>0</v>
      </c>
      <c r="N149" s="11" t="n">
        <v>1</v>
      </c>
      <c r="O149" s="11" t="n">
        <v>0.6</v>
      </c>
      <c r="P149" s="12"/>
      <c r="Q149" s="12"/>
      <c r="R149" s="12"/>
      <c r="S149" s="12"/>
      <c r="T149" s="9" t="s">
        <v>437</v>
      </c>
      <c r="U149" s="9" t="s">
        <v>443</v>
      </c>
    </row>
    <row r="150" customFormat="false" ht="15" hidden="false" customHeight="false" outlineLevel="0" collapsed="false">
      <c r="A150" s="7" t="s">
        <v>43</v>
      </c>
      <c r="B150" s="7" t="s">
        <v>445</v>
      </c>
      <c r="C150" s="8" t="s">
        <v>446</v>
      </c>
      <c r="D150" s="7" t="s">
        <v>447</v>
      </c>
      <c r="E150" s="7" t="n">
        <v>2186</v>
      </c>
      <c r="F150" s="9" t="s">
        <v>448</v>
      </c>
      <c r="G150" s="10" t="s">
        <v>449</v>
      </c>
      <c r="H150" s="9" t="s">
        <v>450</v>
      </c>
      <c r="I150" s="9" t="n">
        <v>50</v>
      </c>
      <c r="J150" s="9" t="n">
        <v>1170</v>
      </c>
      <c r="K150" s="11" t="n">
        <v>0.567</v>
      </c>
      <c r="L150" s="11" t="n">
        <v>1</v>
      </c>
      <c r="M150" s="9" t="n">
        <v>1</v>
      </c>
      <c r="N150" s="11" t="n">
        <v>1</v>
      </c>
      <c r="O150" s="11" t="n">
        <v>1</v>
      </c>
      <c r="P150" s="12"/>
      <c r="Q150" s="12"/>
      <c r="R150" s="12"/>
      <c r="S150" s="12"/>
      <c r="T150" s="9" t="s">
        <v>451</v>
      </c>
      <c r="U150" s="9" t="s">
        <v>449</v>
      </c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 t="s">
        <v>452</v>
      </c>
      <c r="G151" s="10" t="s">
        <v>453</v>
      </c>
      <c r="H151" s="9" t="s">
        <v>450</v>
      </c>
      <c r="I151" s="9" t="n">
        <v>8</v>
      </c>
      <c r="J151" s="9" t="n">
        <v>116</v>
      </c>
      <c r="K151" s="11" t="n">
        <v>0.056</v>
      </c>
      <c r="L151" s="11" t="n">
        <v>1</v>
      </c>
      <c r="M151" s="9" t="n">
        <v>1</v>
      </c>
      <c r="N151" s="11" t="n">
        <v>0.909</v>
      </c>
      <c r="O151" s="11" t="n">
        <v>0.936</v>
      </c>
      <c r="P151" s="12"/>
      <c r="Q151" s="12"/>
      <c r="R151" s="12"/>
      <c r="S151" s="12"/>
      <c r="T151" s="9" t="s">
        <v>451</v>
      </c>
      <c r="U151" s="9" t="s">
        <v>453</v>
      </c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 t="s">
        <v>454</v>
      </c>
      <c r="G152" s="10" t="s">
        <v>455</v>
      </c>
      <c r="H152" s="9"/>
      <c r="I152" s="9" t="n">
        <v>11</v>
      </c>
      <c r="J152" s="9" t="n">
        <v>33</v>
      </c>
      <c r="K152" s="11" t="n">
        <v>0.016</v>
      </c>
      <c r="L152" s="11" t="n">
        <v>1</v>
      </c>
      <c r="M152" s="9" t="n">
        <v>1</v>
      </c>
      <c r="N152" s="11" t="n">
        <v>1</v>
      </c>
      <c r="O152" s="11" t="n">
        <v>0.9</v>
      </c>
      <c r="P152" s="12"/>
      <c r="Q152" s="12"/>
      <c r="R152" s="12"/>
      <c r="S152" s="12"/>
      <c r="T152" s="9" t="s">
        <v>451</v>
      </c>
      <c r="U152" s="9" t="s">
        <v>455</v>
      </c>
    </row>
    <row r="153" customFormat="false" ht="15" hidden="false" customHeight="false" outlineLevel="0" collapsed="false">
      <c r="A153" s="7" t="s">
        <v>43</v>
      </c>
      <c r="B153" s="7" t="s">
        <v>456</v>
      </c>
      <c r="C153" s="8" t="s">
        <v>457</v>
      </c>
      <c r="D153" s="7" t="s">
        <v>458</v>
      </c>
      <c r="E153" s="7" t="n">
        <v>1381</v>
      </c>
      <c r="F153" s="9" t="s">
        <v>456</v>
      </c>
      <c r="G153" s="10" t="s">
        <v>459</v>
      </c>
      <c r="H153" s="9" t="s">
        <v>457</v>
      </c>
      <c r="I153" s="9" t="n">
        <v>19</v>
      </c>
      <c r="J153" s="9" t="n">
        <v>733</v>
      </c>
      <c r="K153" s="11" t="n">
        <v>0.531</v>
      </c>
      <c r="L153" s="11" t="n">
        <v>1</v>
      </c>
      <c r="M153" s="9" t="n">
        <v>1</v>
      </c>
      <c r="N153" s="11" t="n">
        <v>1</v>
      </c>
      <c r="O153" s="11" t="n">
        <v>1</v>
      </c>
      <c r="P153" s="12"/>
      <c r="Q153" s="12"/>
      <c r="R153" s="12"/>
      <c r="S153" s="12"/>
      <c r="T153" s="9" t="s">
        <v>460</v>
      </c>
      <c r="U153" s="9" t="s">
        <v>459</v>
      </c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 t="s">
        <v>461</v>
      </c>
      <c r="G154" s="10" t="s">
        <v>462</v>
      </c>
      <c r="H154" s="9" t="s">
        <v>457</v>
      </c>
      <c r="I154" s="9" t="n">
        <v>43</v>
      </c>
      <c r="J154" s="9" t="n">
        <v>127</v>
      </c>
      <c r="K154" s="11" t="n">
        <v>0.092</v>
      </c>
      <c r="L154" s="11" t="n">
        <v>1</v>
      </c>
      <c r="M154" s="9" t="n">
        <v>1</v>
      </c>
      <c r="N154" s="11" t="n">
        <v>0.5</v>
      </c>
      <c r="O154" s="11" t="n">
        <v>0.875</v>
      </c>
      <c r="P154" s="12"/>
      <c r="Q154" s="12"/>
      <c r="R154" s="12"/>
      <c r="S154" s="12"/>
      <c r="T154" s="9" t="s">
        <v>460</v>
      </c>
      <c r="U154" s="9" t="s">
        <v>462</v>
      </c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 t="s">
        <v>463</v>
      </c>
      <c r="G155" s="10" t="s">
        <v>464</v>
      </c>
      <c r="H155" s="9" t="s">
        <v>465</v>
      </c>
      <c r="I155" s="9" t="n">
        <v>5</v>
      </c>
      <c r="J155" s="9" t="n">
        <v>54</v>
      </c>
      <c r="K155" s="11" t="n">
        <v>0.039</v>
      </c>
      <c r="L155" s="11" t="n">
        <v>1</v>
      </c>
      <c r="M155" s="9" t="n">
        <v>0</v>
      </c>
      <c r="N155" s="11" t="n">
        <v>0.889</v>
      </c>
      <c r="O155" s="11" t="n">
        <v>0.633</v>
      </c>
      <c r="P155" s="12"/>
      <c r="Q155" s="12"/>
      <c r="R155" s="12"/>
      <c r="S155" s="12"/>
      <c r="T155" s="9" t="s">
        <v>460</v>
      </c>
      <c r="U155" s="9" t="s">
        <v>464</v>
      </c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 t="s">
        <v>461</v>
      </c>
      <c r="G156" s="10" t="s">
        <v>466</v>
      </c>
      <c r="H156" s="9"/>
      <c r="I156" s="9" t="n">
        <v>1</v>
      </c>
      <c r="J156" s="9" t="n">
        <v>0</v>
      </c>
      <c r="K156" s="11" t="n">
        <v>0</v>
      </c>
      <c r="L156" s="11" t="n">
        <v>1</v>
      </c>
      <c r="M156" s="9" t="n">
        <v>0</v>
      </c>
      <c r="N156" s="11" t="n">
        <v>1</v>
      </c>
      <c r="O156" s="11" t="n">
        <v>0.6</v>
      </c>
      <c r="P156" s="12"/>
      <c r="Q156" s="12"/>
      <c r="R156" s="12"/>
      <c r="S156" s="12"/>
      <c r="T156" s="9" t="s">
        <v>460</v>
      </c>
      <c r="U156" s="9" t="s">
        <v>466</v>
      </c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 t="s">
        <v>461</v>
      </c>
      <c r="G157" s="10" t="s">
        <v>467</v>
      </c>
      <c r="H157" s="9"/>
      <c r="I157" s="9" t="n">
        <v>1</v>
      </c>
      <c r="J157" s="9" t="n">
        <v>0</v>
      </c>
      <c r="K157" s="11" t="n">
        <v>0</v>
      </c>
      <c r="L157" s="11" t="n">
        <v>1</v>
      </c>
      <c r="M157" s="9" t="n">
        <v>0</v>
      </c>
      <c r="N157" s="11" t="n">
        <v>1</v>
      </c>
      <c r="O157" s="11" t="n">
        <v>0.6</v>
      </c>
      <c r="P157" s="12"/>
      <c r="Q157" s="12"/>
      <c r="R157" s="12"/>
      <c r="S157" s="12"/>
      <c r="T157" s="9" t="s">
        <v>460</v>
      </c>
      <c r="U157" s="9" t="s">
        <v>467</v>
      </c>
    </row>
    <row r="158" customFormat="false" ht="15" hidden="false" customHeight="false" outlineLevel="0" collapsed="false">
      <c r="A158" s="7" t="s">
        <v>43</v>
      </c>
      <c r="B158" s="7" t="s">
        <v>468</v>
      </c>
      <c r="C158" s="8" t="s">
        <v>68</v>
      </c>
      <c r="D158" s="7" t="s">
        <v>469</v>
      </c>
      <c r="E158" s="7" t="n">
        <v>6003</v>
      </c>
      <c r="F158" s="9" t="s">
        <v>468</v>
      </c>
      <c r="G158" s="10" t="s">
        <v>470</v>
      </c>
      <c r="H158" s="9" t="s">
        <v>68</v>
      </c>
      <c r="I158" s="9" t="n">
        <v>66</v>
      </c>
      <c r="J158" s="9" t="n">
        <v>3865</v>
      </c>
      <c r="K158" s="11" t="n">
        <v>0.683</v>
      </c>
      <c r="L158" s="11" t="n">
        <v>1</v>
      </c>
      <c r="M158" s="9" t="n">
        <v>1</v>
      </c>
      <c r="N158" s="11" t="n">
        <v>0.866</v>
      </c>
      <c r="O158" s="11" t="n">
        <v>0.98</v>
      </c>
      <c r="P158" s="12"/>
      <c r="Q158" s="12"/>
      <c r="R158" s="12"/>
      <c r="S158" s="12"/>
      <c r="T158" s="9" t="s">
        <v>471</v>
      </c>
      <c r="U158" s="9" t="s">
        <v>470</v>
      </c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 t="s">
        <v>468</v>
      </c>
      <c r="G159" s="10" t="s">
        <v>472</v>
      </c>
      <c r="H159" s="9" t="s">
        <v>68</v>
      </c>
      <c r="I159" s="9" t="n">
        <v>1</v>
      </c>
      <c r="J159" s="9" t="n">
        <v>0</v>
      </c>
      <c r="K159" s="11" t="n">
        <v>0</v>
      </c>
      <c r="L159" s="11" t="n">
        <v>1</v>
      </c>
      <c r="M159" s="9" t="n">
        <v>1</v>
      </c>
      <c r="N159" s="11" t="n">
        <v>1</v>
      </c>
      <c r="O159" s="11" t="n">
        <v>0.9</v>
      </c>
      <c r="P159" s="12"/>
      <c r="Q159" s="12"/>
      <c r="R159" s="12"/>
      <c r="S159" s="12"/>
      <c r="T159" s="9" t="s">
        <v>471</v>
      </c>
      <c r="U159" s="9" t="s">
        <v>472</v>
      </c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 t="s">
        <v>468</v>
      </c>
      <c r="G160" s="10" t="s">
        <v>473</v>
      </c>
      <c r="H160" s="9" t="s">
        <v>68</v>
      </c>
      <c r="I160" s="9" t="n">
        <v>6</v>
      </c>
      <c r="J160" s="9" t="n">
        <v>93</v>
      </c>
      <c r="K160" s="11" t="n">
        <v>0.016</v>
      </c>
      <c r="L160" s="11" t="n">
        <v>1</v>
      </c>
      <c r="M160" s="9" t="n">
        <v>1</v>
      </c>
      <c r="N160" s="11" t="n">
        <v>0.769</v>
      </c>
      <c r="O160" s="11" t="n">
        <v>0.865</v>
      </c>
      <c r="P160" s="12"/>
      <c r="Q160" s="12"/>
      <c r="R160" s="12"/>
      <c r="S160" s="12"/>
      <c r="T160" s="9" t="s">
        <v>471</v>
      </c>
      <c r="U160" s="9" t="s">
        <v>473</v>
      </c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 t="s">
        <v>474</v>
      </c>
      <c r="G161" s="10" t="s">
        <v>475</v>
      </c>
      <c r="H161" s="9" t="s">
        <v>476</v>
      </c>
      <c r="I161" s="9" t="n">
        <v>110</v>
      </c>
      <c r="J161" s="9" t="n">
        <v>6263</v>
      </c>
      <c r="K161" s="11" t="n">
        <v>1.107</v>
      </c>
      <c r="L161" s="11" t="n">
        <v>1</v>
      </c>
      <c r="M161" s="9" t="n">
        <v>1</v>
      </c>
      <c r="N161" s="11" t="n">
        <v>0</v>
      </c>
      <c r="O161" s="11" t="n">
        <v>0.85</v>
      </c>
      <c r="P161" s="12"/>
      <c r="Q161" s="12"/>
      <c r="R161" s="12"/>
      <c r="S161" s="12"/>
      <c r="T161" s="9" t="s">
        <v>471</v>
      </c>
      <c r="U161" s="9" t="s">
        <v>475</v>
      </c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 t="s">
        <v>468</v>
      </c>
      <c r="G162" s="10" t="s">
        <v>477</v>
      </c>
      <c r="H162" s="9" t="s">
        <v>68</v>
      </c>
      <c r="I162" s="9" t="n">
        <v>1</v>
      </c>
      <c r="J162" s="9" t="n">
        <v>0</v>
      </c>
      <c r="K162" s="11" t="n">
        <v>0</v>
      </c>
      <c r="L162" s="11" t="n">
        <v>1</v>
      </c>
      <c r="M162" s="9" t="n">
        <v>1</v>
      </c>
      <c r="N162" s="11" t="n">
        <v>0.667</v>
      </c>
      <c r="O162" s="11" t="n">
        <v>0.85</v>
      </c>
      <c r="P162" s="12"/>
      <c r="Q162" s="12"/>
      <c r="R162" s="12"/>
      <c r="S162" s="12"/>
      <c r="T162" s="9" t="s">
        <v>471</v>
      </c>
      <c r="U162" s="9" t="s">
        <v>477</v>
      </c>
    </row>
    <row r="163" customFormat="false" ht="15" hidden="false" customHeight="false" outlineLevel="0" collapsed="false">
      <c r="A163" s="7" t="s">
        <v>43</v>
      </c>
      <c r="B163" s="7" t="s">
        <v>478</v>
      </c>
      <c r="C163" s="8" t="s">
        <v>392</v>
      </c>
      <c r="D163" s="7" t="s">
        <v>479</v>
      </c>
      <c r="E163" s="7" t="n">
        <v>2252</v>
      </c>
      <c r="F163" s="9" t="s">
        <v>478</v>
      </c>
      <c r="G163" s="10" t="s">
        <v>480</v>
      </c>
      <c r="H163" s="9"/>
      <c r="I163" s="9" t="n">
        <v>70</v>
      </c>
      <c r="J163" s="9" t="n">
        <v>2006</v>
      </c>
      <c r="K163" s="11" t="n">
        <v>1.03</v>
      </c>
      <c r="L163" s="11" t="n">
        <v>1</v>
      </c>
      <c r="M163" s="9" t="n">
        <v>1</v>
      </c>
      <c r="N163" s="11" t="n">
        <v>1</v>
      </c>
      <c r="O163" s="11" t="n">
        <v>1</v>
      </c>
      <c r="P163" s="12"/>
      <c r="Q163" s="12"/>
      <c r="R163" s="12"/>
      <c r="S163" s="12"/>
      <c r="T163" s="9" t="s">
        <v>481</v>
      </c>
      <c r="U163" s="9" t="s">
        <v>480</v>
      </c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 t="s">
        <v>478</v>
      </c>
      <c r="G164" s="10" t="s">
        <v>482</v>
      </c>
      <c r="H164" s="9" t="s">
        <v>392</v>
      </c>
      <c r="I164" s="9" t="n">
        <v>11</v>
      </c>
      <c r="J164" s="9" t="n">
        <v>152</v>
      </c>
      <c r="K164" s="11" t="n">
        <v>0.078</v>
      </c>
      <c r="L164" s="11" t="n">
        <v>1</v>
      </c>
      <c r="M164" s="9" t="n">
        <v>1</v>
      </c>
      <c r="N164" s="11" t="n">
        <v>0.846</v>
      </c>
      <c r="O164" s="11" t="n">
        <v>0.927</v>
      </c>
      <c r="P164" s="12"/>
      <c r="Q164" s="12"/>
      <c r="R164" s="12"/>
      <c r="S164" s="12"/>
      <c r="T164" s="9" t="s">
        <v>481</v>
      </c>
      <c r="U164" s="9" t="s">
        <v>482</v>
      </c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 t="s">
        <v>478</v>
      </c>
      <c r="G165" s="10" t="s">
        <v>483</v>
      </c>
      <c r="H165" s="9" t="s">
        <v>392</v>
      </c>
      <c r="I165" s="9" t="n">
        <v>1</v>
      </c>
      <c r="J165" s="9" t="n">
        <v>0</v>
      </c>
      <c r="K165" s="11" t="n">
        <v>0</v>
      </c>
      <c r="L165" s="11" t="n">
        <v>1</v>
      </c>
      <c r="M165" s="9" t="n">
        <v>1</v>
      </c>
      <c r="N165" s="11" t="n">
        <v>1</v>
      </c>
      <c r="O165" s="11" t="n">
        <v>0.9</v>
      </c>
      <c r="P165" s="12"/>
      <c r="Q165" s="12"/>
      <c r="R165" s="12"/>
      <c r="S165" s="12"/>
      <c r="T165" s="9" t="s">
        <v>481</v>
      </c>
      <c r="U165" s="9" t="s">
        <v>483</v>
      </c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 t="s">
        <v>484</v>
      </c>
      <c r="G166" s="10" t="s">
        <v>485</v>
      </c>
      <c r="H166" s="9" t="s">
        <v>392</v>
      </c>
      <c r="I166" s="9" t="n">
        <v>2</v>
      </c>
      <c r="J166" s="9" t="n">
        <v>21</v>
      </c>
      <c r="K166" s="11" t="n">
        <v>0.011</v>
      </c>
      <c r="L166" s="11" t="n">
        <v>1</v>
      </c>
      <c r="M166" s="9" t="n">
        <v>1</v>
      </c>
      <c r="N166" s="11" t="n">
        <v>0.8</v>
      </c>
      <c r="O166" s="11" t="n">
        <v>0.87</v>
      </c>
      <c r="P166" s="12"/>
      <c r="Q166" s="12"/>
      <c r="R166" s="12"/>
      <c r="S166" s="12"/>
      <c r="T166" s="9" t="s">
        <v>481</v>
      </c>
      <c r="U166" s="9" t="s">
        <v>485</v>
      </c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 t="s">
        <v>486</v>
      </c>
      <c r="G167" s="10" t="s">
        <v>487</v>
      </c>
      <c r="H167" s="9" t="s">
        <v>392</v>
      </c>
      <c r="I167" s="9" t="n">
        <v>27</v>
      </c>
      <c r="J167" s="9" t="n">
        <v>920</v>
      </c>
      <c r="K167" s="11" t="n">
        <v>0.473</v>
      </c>
      <c r="L167" s="11" t="n">
        <v>0.431</v>
      </c>
      <c r="M167" s="9" t="n">
        <v>1</v>
      </c>
      <c r="N167" s="11" t="n">
        <v>1</v>
      </c>
      <c r="O167" s="11" t="n">
        <v>0.744</v>
      </c>
      <c r="P167" s="12"/>
      <c r="Q167" s="12"/>
      <c r="R167" s="12"/>
      <c r="S167" s="12"/>
      <c r="T167" s="9" t="s">
        <v>481</v>
      </c>
      <c r="U167" s="9" t="s">
        <v>487</v>
      </c>
    </row>
    <row r="168" customFormat="false" ht="15" hidden="false" customHeight="false" outlineLevel="0" collapsed="false">
      <c r="A168" s="7" t="s">
        <v>43</v>
      </c>
      <c r="B168" s="7" t="s">
        <v>488</v>
      </c>
      <c r="C168" s="8" t="s">
        <v>489</v>
      </c>
      <c r="D168" s="7" t="s">
        <v>490</v>
      </c>
      <c r="E168" s="7" t="n">
        <v>3959</v>
      </c>
      <c r="F168" s="9" t="s">
        <v>488</v>
      </c>
      <c r="G168" s="10" t="s">
        <v>491</v>
      </c>
      <c r="H168" s="9"/>
      <c r="I168" s="9" t="n">
        <v>148</v>
      </c>
      <c r="J168" s="9" t="n">
        <v>1472</v>
      </c>
      <c r="K168" s="11" t="n">
        <v>0.375</v>
      </c>
      <c r="L168" s="11" t="n">
        <v>1</v>
      </c>
      <c r="M168" s="9" t="n">
        <v>1</v>
      </c>
      <c r="N168" s="11" t="n">
        <v>0.746</v>
      </c>
      <c r="O168" s="11" t="n">
        <v>0.962</v>
      </c>
      <c r="P168" s="12"/>
      <c r="Q168" s="12"/>
      <c r="R168" s="12"/>
      <c r="S168" s="12"/>
      <c r="T168" s="9" t="s">
        <v>492</v>
      </c>
      <c r="U168" s="9" t="s">
        <v>491</v>
      </c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 t="s">
        <v>488</v>
      </c>
      <c r="G169" s="10" t="s">
        <v>493</v>
      </c>
      <c r="H169" s="9"/>
      <c r="I169" s="9" t="n">
        <v>57</v>
      </c>
      <c r="J169" s="9" t="n">
        <v>536</v>
      </c>
      <c r="K169" s="11" t="n">
        <v>0.137</v>
      </c>
      <c r="L169" s="11" t="n">
        <v>1</v>
      </c>
      <c r="M169" s="9" t="n">
        <v>1</v>
      </c>
      <c r="N169" s="11" t="n">
        <v>0.167</v>
      </c>
      <c r="O169" s="11" t="n">
        <v>0.875</v>
      </c>
      <c r="P169" s="12"/>
      <c r="Q169" s="12"/>
      <c r="R169" s="12"/>
      <c r="S169" s="12"/>
      <c r="T169" s="9" t="s">
        <v>492</v>
      </c>
      <c r="U169" s="9" t="s">
        <v>493</v>
      </c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 t="s">
        <v>494</v>
      </c>
      <c r="G170" s="10" t="s">
        <v>495</v>
      </c>
      <c r="H170" s="9" t="s">
        <v>496</v>
      </c>
      <c r="I170" s="9" t="n">
        <v>618</v>
      </c>
      <c r="J170" s="9" t="n">
        <v>9172</v>
      </c>
      <c r="K170" s="11" t="n">
        <v>2.338</v>
      </c>
      <c r="L170" s="11" t="n">
        <v>1</v>
      </c>
      <c r="M170" s="9" t="n">
        <v>1</v>
      </c>
      <c r="N170" s="11" t="n">
        <v>0.266</v>
      </c>
      <c r="O170" s="11" t="n">
        <v>0.84</v>
      </c>
      <c r="P170" s="12"/>
      <c r="Q170" s="12"/>
      <c r="R170" s="12"/>
      <c r="S170" s="12"/>
      <c r="T170" s="9" t="s">
        <v>492</v>
      </c>
      <c r="U170" s="9" t="s">
        <v>495</v>
      </c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 t="s">
        <v>497</v>
      </c>
      <c r="G171" s="10" t="s">
        <v>498</v>
      </c>
      <c r="H171" s="9"/>
      <c r="I171" s="9" t="n">
        <v>116</v>
      </c>
      <c r="J171" s="9" t="n">
        <v>670</v>
      </c>
      <c r="K171" s="11" t="n">
        <v>0.171</v>
      </c>
      <c r="L171" s="11" t="n">
        <v>1</v>
      </c>
      <c r="M171" s="9" t="n">
        <v>0</v>
      </c>
      <c r="N171" s="11" t="n">
        <v>1</v>
      </c>
      <c r="O171" s="11" t="n">
        <v>0.7</v>
      </c>
      <c r="P171" s="12"/>
      <c r="Q171" s="12"/>
      <c r="R171" s="12"/>
      <c r="S171" s="12"/>
      <c r="T171" s="9" t="s">
        <v>492</v>
      </c>
      <c r="U171" s="9" t="s">
        <v>498</v>
      </c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 t="s">
        <v>499</v>
      </c>
      <c r="G172" s="10" t="s">
        <v>500</v>
      </c>
      <c r="H172" s="9"/>
      <c r="I172" s="9" t="n">
        <v>69</v>
      </c>
      <c r="J172" s="9" t="n">
        <v>406</v>
      </c>
      <c r="K172" s="11" t="n">
        <v>0.103</v>
      </c>
      <c r="L172" s="11" t="n">
        <v>1</v>
      </c>
      <c r="M172" s="9" t="n">
        <v>0</v>
      </c>
      <c r="N172" s="11" t="n">
        <v>0.904</v>
      </c>
      <c r="O172" s="11" t="n">
        <v>0.686</v>
      </c>
      <c r="P172" s="12"/>
      <c r="Q172" s="12"/>
      <c r="R172" s="12"/>
      <c r="S172" s="12"/>
      <c r="T172" s="9" t="s">
        <v>492</v>
      </c>
      <c r="U172" s="9" t="s">
        <v>500</v>
      </c>
    </row>
    <row r="173" customFormat="false" ht="15" hidden="false" customHeight="false" outlineLevel="0" collapsed="false">
      <c r="A173" s="7" t="s">
        <v>43</v>
      </c>
      <c r="B173" s="7" t="s">
        <v>501</v>
      </c>
      <c r="C173" s="8" t="s">
        <v>502</v>
      </c>
      <c r="D173" s="7" t="s">
        <v>503</v>
      </c>
      <c r="E173" s="7" t="n">
        <v>437</v>
      </c>
      <c r="F173" s="9" t="s">
        <v>501</v>
      </c>
      <c r="G173" s="10" t="s">
        <v>504</v>
      </c>
      <c r="H173" s="9" t="s">
        <v>505</v>
      </c>
      <c r="I173" s="9" t="n">
        <v>38</v>
      </c>
      <c r="J173" s="9" t="n">
        <v>284</v>
      </c>
      <c r="K173" s="11" t="n">
        <v>0.65</v>
      </c>
      <c r="L173" s="11" t="n">
        <v>1</v>
      </c>
      <c r="M173" s="9" t="n">
        <v>1</v>
      </c>
      <c r="N173" s="11" t="n">
        <v>1</v>
      </c>
      <c r="O173" s="11" t="n">
        <v>1</v>
      </c>
      <c r="P173" s="12"/>
      <c r="Q173" s="12"/>
      <c r="R173" s="12"/>
      <c r="S173" s="12"/>
      <c r="T173" s="9" t="s">
        <v>506</v>
      </c>
      <c r="U173" s="9" t="s">
        <v>504</v>
      </c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 t="s">
        <v>501</v>
      </c>
      <c r="G174" s="10" t="s">
        <v>507</v>
      </c>
      <c r="H174" s="9" t="s">
        <v>505</v>
      </c>
      <c r="I174" s="9" t="n">
        <v>6</v>
      </c>
      <c r="J174" s="9" t="n">
        <v>194</v>
      </c>
      <c r="K174" s="11" t="n">
        <v>0.444</v>
      </c>
      <c r="L174" s="11" t="n">
        <v>1</v>
      </c>
      <c r="M174" s="9" t="n">
        <v>1</v>
      </c>
      <c r="N174" s="11" t="n">
        <v>1</v>
      </c>
      <c r="O174" s="11" t="n">
        <v>1</v>
      </c>
      <c r="P174" s="12"/>
      <c r="Q174" s="12"/>
      <c r="R174" s="12"/>
      <c r="S174" s="12"/>
      <c r="T174" s="9" t="s">
        <v>506</v>
      </c>
      <c r="U174" s="9" t="s">
        <v>507</v>
      </c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 t="s">
        <v>508</v>
      </c>
      <c r="G175" s="10" t="s">
        <v>509</v>
      </c>
      <c r="H175" s="9"/>
      <c r="I175" s="9" t="n">
        <v>2</v>
      </c>
      <c r="J175" s="9" t="n">
        <v>5</v>
      </c>
      <c r="K175" s="11" t="n">
        <v>0.011</v>
      </c>
      <c r="L175" s="11" t="n">
        <v>1</v>
      </c>
      <c r="M175" s="9" t="n">
        <v>0</v>
      </c>
      <c r="N175" s="11" t="n">
        <v>1</v>
      </c>
      <c r="O175" s="11" t="n">
        <v>0.6</v>
      </c>
      <c r="P175" s="12"/>
      <c r="Q175" s="12"/>
      <c r="R175" s="12"/>
      <c r="S175" s="12"/>
      <c r="T175" s="9" t="s">
        <v>506</v>
      </c>
      <c r="U175" s="9" t="s">
        <v>509</v>
      </c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 t="s">
        <v>501</v>
      </c>
      <c r="G176" s="10" t="s">
        <v>510</v>
      </c>
      <c r="H176" s="9"/>
      <c r="I176" s="9" t="n">
        <v>1</v>
      </c>
      <c r="J176" s="9" t="n">
        <v>0</v>
      </c>
      <c r="K176" s="11" t="n">
        <v>0</v>
      </c>
      <c r="L176" s="11" t="n">
        <v>1</v>
      </c>
      <c r="M176" s="9" t="n">
        <v>0</v>
      </c>
      <c r="N176" s="11" t="n">
        <v>1</v>
      </c>
      <c r="O176" s="11" t="n">
        <v>0.6</v>
      </c>
      <c r="P176" s="12"/>
      <c r="Q176" s="12"/>
      <c r="R176" s="12"/>
      <c r="S176" s="12"/>
      <c r="T176" s="9" t="s">
        <v>506</v>
      </c>
      <c r="U176" s="9" t="s">
        <v>510</v>
      </c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 t="s">
        <v>511</v>
      </c>
      <c r="G177" s="10" t="s">
        <v>512</v>
      </c>
      <c r="H177" s="9"/>
      <c r="I177" s="9" t="n">
        <v>1</v>
      </c>
      <c r="J177" s="9" t="n">
        <v>0</v>
      </c>
      <c r="K177" s="11" t="n">
        <v>0</v>
      </c>
      <c r="L177" s="11" t="n">
        <v>1</v>
      </c>
      <c r="M177" s="9" t="n">
        <v>0</v>
      </c>
      <c r="N177" s="11" t="n">
        <v>1</v>
      </c>
      <c r="O177" s="11" t="n">
        <v>0.6</v>
      </c>
      <c r="P177" s="12"/>
      <c r="Q177" s="12"/>
      <c r="R177" s="12"/>
      <c r="S177" s="12"/>
      <c r="T177" s="9" t="s">
        <v>506</v>
      </c>
      <c r="U177" s="9" t="s">
        <v>512</v>
      </c>
    </row>
    <row r="178" customFormat="false" ht="15" hidden="false" customHeight="false" outlineLevel="0" collapsed="false">
      <c r="A178" s="7" t="s">
        <v>43</v>
      </c>
      <c r="B178" s="7" t="s">
        <v>513</v>
      </c>
      <c r="C178" s="8" t="s">
        <v>514</v>
      </c>
      <c r="D178" s="7" t="s">
        <v>515</v>
      </c>
      <c r="E178" s="7" t="n">
        <v>1455</v>
      </c>
      <c r="F178" s="9" t="s">
        <v>513</v>
      </c>
      <c r="G178" s="10" t="s">
        <v>516</v>
      </c>
      <c r="H178" s="9" t="s">
        <v>517</v>
      </c>
      <c r="I178" s="9" t="n">
        <v>33</v>
      </c>
      <c r="J178" s="9" t="n">
        <v>442</v>
      </c>
      <c r="K178" s="11" t="n">
        <v>0.35</v>
      </c>
      <c r="L178" s="11" t="n">
        <v>1</v>
      </c>
      <c r="M178" s="9" t="n">
        <v>1</v>
      </c>
      <c r="N178" s="11" t="n">
        <v>0.069</v>
      </c>
      <c r="O178" s="11" t="n">
        <v>0.86</v>
      </c>
      <c r="P178" s="12"/>
      <c r="Q178" s="12"/>
      <c r="R178" s="12"/>
      <c r="S178" s="12"/>
      <c r="T178" s="9" t="s">
        <v>518</v>
      </c>
      <c r="U178" s="9" t="s">
        <v>516</v>
      </c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 t="s">
        <v>513</v>
      </c>
      <c r="G179" s="10" t="s">
        <v>519</v>
      </c>
      <c r="H179" s="9" t="s">
        <v>520</v>
      </c>
      <c r="I179" s="9" t="n">
        <v>48</v>
      </c>
      <c r="J179" s="9" t="n">
        <v>4949</v>
      </c>
      <c r="K179" s="11" t="n">
        <v>3.915</v>
      </c>
      <c r="L179" s="11" t="n">
        <v>1</v>
      </c>
      <c r="M179" s="9" t="n">
        <v>1</v>
      </c>
      <c r="N179" s="11" t="n">
        <v>0.421</v>
      </c>
      <c r="O179" s="11" t="n">
        <v>0.813</v>
      </c>
      <c r="P179" s="12"/>
      <c r="Q179" s="12"/>
      <c r="R179" s="12"/>
      <c r="S179" s="12"/>
      <c r="T179" s="9" t="s">
        <v>518</v>
      </c>
      <c r="U179" s="9" t="s">
        <v>519</v>
      </c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 t="s">
        <v>521</v>
      </c>
      <c r="G180" s="10" t="s">
        <v>522</v>
      </c>
      <c r="H180" s="9" t="s">
        <v>132</v>
      </c>
      <c r="I180" s="9" t="n">
        <v>120</v>
      </c>
      <c r="J180" s="9" t="n">
        <v>7196</v>
      </c>
      <c r="K180" s="11" t="n">
        <v>5.693</v>
      </c>
      <c r="L180" s="11" t="n">
        <v>1</v>
      </c>
      <c r="M180" s="9" t="n">
        <v>1</v>
      </c>
      <c r="N180" s="11" t="n">
        <v>0.113</v>
      </c>
      <c r="O180" s="11" t="n">
        <v>0.767</v>
      </c>
      <c r="P180" s="12"/>
      <c r="Q180" s="12"/>
      <c r="R180" s="12"/>
      <c r="S180" s="12"/>
      <c r="T180" s="9" t="s">
        <v>518</v>
      </c>
      <c r="U180" s="9" t="s">
        <v>522</v>
      </c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 t="s">
        <v>523</v>
      </c>
      <c r="G181" s="10" t="s">
        <v>524</v>
      </c>
      <c r="H181" s="9" t="s">
        <v>525</v>
      </c>
      <c r="I181" s="9" t="n">
        <v>35</v>
      </c>
      <c r="J181" s="9" t="n">
        <v>1705</v>
      </c>
      <c r="K181" s="11" t="n">
        <v>1.349</v>
      </c>
      <c r="L181" s="11" t="n">
        <v>1</v>
      </c>
      <c r="M181" s="9" t="n">
        <v>0.5</v>
      </c>
      <c r="N181" s="11" t="n">
        <v>0.279</v>
      </c>
      <c r="O181" s="11" t="n">
        <v>0.742</v>
      </c>
      <c r="P181" s="12"/>
      <c r="Q181" s="12"/>
      <c r="R181" s="12"/>
      <c r="S181" s="12"/>
      <c r="T181" s="9" t="s">
        <v>518</v>
      </c>
      <c r="U181" s="9" t="s">
        <v>524</v>
      </c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 t="s">
        <v>526</v>
      </c>
      <c r="G182" s="10" t="s">
        <v>527</v>
      </c>
      <c r="H182" s="9" t="s">
        <v>299</v>
      </c>
      <c r="I182" s="9" t="n">
        <v>27</v>
      </c>
      <c r="J182" s="9" t="n">
        <v>1292</v>
      </c>
      <c r="K182" s="11" t="n">
        <v>1.022</v>
      </c>
      <c r="L182" s="11" t="n">
        <v>1</v>
      </c>
      <c r="M182" s="9" t="n">
        <v>0.5</v>
      </c>
      <c r="N182" s="11" t="n">
        <v>0.15</v>
      </c>
      <c r="O182" s="11" t="n">
        <v>0.722</v>
      </c>
      <c r="P182" s="12"/>
      <c r="Q182" s="12"/>
      <c r="R182" s="12"/>
      <c r="S182" s="12"/>
      <c r="T182" s="9" t="s">
        <v>518</v>
      </c>
      <c r="U182" s="9" t="s">
        <v>527</v>
      </c>
    </row>
    <row r="183" customFormat="false" ht="15" hidden="false" customHeight="false" outlineLevel="0" collapsed="false">
      <c r="A183" s="7" t="s">
        <v>43</v>
      </c>
      <c r="B183" s="7" t="s">
        <v>528</v>
      </c>
      <c r="C183" s="8" t="s">
        <v>529</v>
      </c>
      <c r="D183" s="7" t="s">
        <v>530</v>
      </c>
      <c r="E183" s="7" t="n">
        <v>721</v>
      </c>
      <c r="F183" s="9" t="s">
        <v>528</v>
      </c>
      <c r="G183" s="10" t="s">
        <v>531</v>
      </c>
      <c r="H183" s="9"/>
      <c r="I183" s="9" t="n">
        <v>28</v>
      </c>
      <c r="J183" s="9" t="n">
        <v>613</v>
      </c>
      <c r="K183" s="11" t="n">
        <v>0.915</v>
      </c>
      <c r="L183" s="11" t="n">
        <v>1</v>
      </c>
      <c r="M183" s="9" t="n">
        <v>1</v>
      </c>
      <c r="N183" s="11" t="n">
        <v>0.85</v>
      </c>
      <c r="O183" s="11" t="n">
        <v>0.977</v>
      </c>
      <c r="P183" s="12"/>
      <c r="Q183" s="12"/>
      <c r="R183" s="12"/>
      <c r="S183" s="12"/>
      <c r="T183" s="9" t="s">
        <v>532</v>
      </c>
      <c r="U183" s="9" t="s">
        <v>531</v>
      </c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 t="s">
        <v>528</v>
      </c>
      <c r="G184" s="10" t="s">
        <v>533</v>
      </c>
      <c r="H184" s="9" t="s">
        <v>529</v>
      </c>
      <c r="I184" s="9" t="n">
        <v>13</v>
      </c>
      <c r="J184" s="9" t="n">
        <v>295</v>
      </c>
      <c r="K184" s="11" t="n">
        <v>0.44</v>
      </c>
      <c r="L184" s="11" t="n">
        <v>1</v>
      </c>
      <c r="M184" s="9" t="n">
        <v>1</v>
      </c>
      <c r="N184" s="11" t="n">
        <v>0.8</v>
      </c>
      <c r="O184" s="11" t="n">
        <v>0.97</v>
      </c>
      <c r="P184" s="12"/>
      <c r="Q184" s="12"/>
      <c r="R184" s="12"/>
      <c r="S184" s="12"/>
      <c r="T184" s="9" t="s">
        <v>532</v>
      </c>
      <c r="U184" s="9" t="s">
        <v>533</v>
      </c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 t="s">
        <v>528</v>
      </c>
      <c r="G185" s="10" t="s">
        <v>534</v>
      </c>
      <c r="H185" s="9" t="s">
        <v>380</v>
      </c>
      <c r="I185" s="9" t="n">
        <v>33</v>
      </c>
      <c r="J185" s="9" t="n">
        <v>202</v>
      </c>
      <c r="K185" s="11" t="n">
        <v>0.301</v>
      </c>
      <c r="L185" s="11" t="n">
        <v>1</v>
      </c>
      <c r="M185" s="9" t="n">
        <v>0</v>
      </c>
      <c r="N185" s="11" t="n">
        <v>0.32</v>
      </c>
      <c r="O185" s="11" t="n">
        <v>0.598</v>
      </c>
      <c r="P185" s="12"/>
      <c r="Q185" s="12"/>
      <c r="R185" s="12"/>
      <c r="S185" s="12"/>
      <c r="T185" s="9" t="s">
        <v>532</v>
      </c>
      <c r="U185" s="9" t="s">
        <v>534</v>
      </c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 t="s">
        <v>528</v>
      </c>
      <c r="G186" s="10" t="s">
        <v>535</v>
      </c>
      <c r="H186" s="9" t="s">
        <v>536</v>
      </c>
      <c r="I186" s="9" t="n">
        <v>25</v>
      </c>
      <c r="J186" s="9" t="n">
        <v>159</v>
      </c>
      <c r="K186" s="11" t="n">
        <v>0.237</v>
      </c>
      <c r="L186" s="11" t="n">
        <v>1</v>
      </c>
      <c r="M186" s="9" t="n">
        <v>0</v>
      </c>
      <c r="N186" s="11" t="n">
        <v>0</v>
      </c>
      <c r="O186" s="11" t="n">
        <v>0.55</v>
      </c>
      <c r="P186" s="12"/>
      <c r="Q186" s="12"/>
      <c r="R186" s="12"/>
      <c r="S186" s="12"/>
      <c r="T186" s="9" t="s">
        <v>532</v>
      </c>
      <c r="U186" s="9" t="s">
        <v>535</v>
      </c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 t="s">
        <v>528</v>
      </c>
      <c r="G187" s="10" t="s">
        <v>537</v>
      </c>
      <c r="H187" s="9" t="s">
        <v>538</v>
      </c>
      <c r="I187" s="9" t="n">
        <v>1</v>
      </c>
      <c r="J187" s="9" t="n">
        <v>0</v>
      </c>
      <c r="K187" s="11" t="n">
        <v>0</v>
      </c>
      <c r="L187" s="11" t="n">
        <v>1</v>
      </c>
      <c r="M187" s="9" t="n">
        <v>0</v>
      </c>
      <c r="N187" s="11" t="n">
        <v>0.667</v>
      </c>
      <c r="O187" s="11" t="n">
        <v>0.55</v>
      </c>
      <c r="P187" s="12"/>
      <c r="Q187" s="12"/>
      <c r="R187" s="12"/>
      <c r="S187" s="12"/>
      <c r="T187" s="9" t="s">
        <v>532</v>
      </c>
      <c r="U187" s="9" t="s">
        <v>537</v>
      </c>
    </row>
    <row r="188" customFormat="false" ht="15" hidden="false" customHeight="false" outlineLevel="0" collapsed="false">
      <c r="A188" s="7" t="s">
        <v>43</v>
      </c>
      <c r="B188" s="7" t="s">
        <v>539</v>
      </c>
      <c r="C188" s="8" t="s">
        <v>540</v>
      </c>
      <c r="D188" s="7" t="s">
        <v>541</v>
      </c>
      <c r="E188" s="7" t="n">
        <v>4209</v>
      </c>
      <c r="F188" s="9" t="s">
        <v>542</v>
      </c>
      <c r="G188" s="10" t="s">
        <v>543</v>
      </c>
      <c r="H188" s="9" t="s">
        <v>544</v>
      </c>
      <c r="I188" s="9" t="n">
        <v>198</v>
      </c>
      <c r="J188" s="9" t="n">
        <v>1970</v>
      </c>
      <c r="K188" s="11" t="n">
        <v>0.468</v>
      </c>
      <c r="L188" s="11" t="n">
        <v>1</v>
      </c>
      <c r="M188" s="9" t="n">
        <v>1</v>
      </c>
      <c r="N188" s="11" t="n">
        <v>1</v>
      </c>
      <c r="O188" s="11" t="n">
        <v>1</v>
      </c>
      <c r="P188" s="12"/>
      <c r="Q188" s="12"/>
      <c r="R188" s="12"/>
      <c r="S188" s="12"/>
      <c r="T188" s="9" t="s">
        <v>545</v>
      </c>
      <c r="U188" s="9" t="s">
        <v>543</v>
      </c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 t="s">
        <v>546</v>
      </c>
      <c r="G189" s="10" t="s">
        <v>547</v>
      </c>
      <c r="H189" s="9" t="s">
        <v>548</v>
      </c>
      <c r="I189" s="9" t="n">
        <v>93</v>
      </c>
      <c r="J189" s="9" t="n">
        <v>3536</v>
      </c>
      <c r="K189" s="11" t="n">
        <v>0.84</v>
      </c>
      <c r="L189" s="11" t="n">
        <v>1</v>
      </c>
      <c r="M189" s="9" t="n">
        <v>1</v>
      </c>
      <c r="N189" s="11" t="n">
        <v>0.396</v>
      </c>
      <c r="O189" s="11" t="n">
        <v>0.909</v>
      </c>
      <c r="P189" s="12"/>
      <c r="Q189" s="12"/>
      <c r="R189" s="12"/>
      <c r="S189" s="12"/>
      <c r="T189" s="9" t="s">
        <v>545</v>
      </c>
      <c r="U189" s="9" t="s">
        <v>547</v>
      </c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 t="s">
        <v>539</v>
      </c>
      <c r="G190" s="10" t="s">
        <v>549</v>
      </c>
      <c r="H190" s="9" t="s">
        <v>550</v>
      </c>
      <c r="I190" s="9" t="n">
        <v>145</v>
      </c>
      <c r="J190" s="9" t="n">
        <v>1914</v>
      </c>
      <c r="K190" s="11" t="n">
        <v>0.455</v>
      </c>
      <c r="L190" s="11" t="n">
        <v>1</v>
      </c>
      <c r="M190" s="9" t="n">
        <v>0</v>
      </c>
      <c r="N190" s="11" t="n">
        <v>1</v>
      </c>
      <c r="O190" s="11" t="n">
        <v>0.7</v>
      </c>
      <c r="P190" s="12"/>
      <c r="Q190" s="12"/>
      <c r="R190" s="12"/>
      <c r="S190" s="12"/>
      <c r="T190" s="9" t="s">
        <v>545</v>
      </c>
      <c r="U190" s="9" t="s">
        <v>549</v>
      </c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 t="s">
        <v>551</v>
      </c>
      <c r="G191" s="10" t="s">
        <v>552</v>
      </c>
      <c r="H191" s="9"/>
      <c r="I191" s="9" t="n">
        <v>9</v>
      </c>
      <c r="J191" s="9" t="n">
        <v>1220</v>
      </c>
      <c r="K191" s="11" t="n">
        <v>0.29</v>
      </c>
      <c r="L191" s="11" t="n">
        <v>1</v>
      </c>
      <c r="M191" s="9" t="n">
        <v>0</v>
      </c>
      <c r="N191" s="11" t="n">
        <v>0.833</v>
      </c>
      <c r="O191" s="11" t="n">
        <v>0.675</v>
      </c>
      <c r="P191" s="12"/>
      <c r="Q191" s="12"/>
      <c r="R191" s="12"/>
      <c r="S191" s="12"/>
      <c r="T191" s="9" t="s">
        <v>545</v>
      </c>
      <c r="U191" s="9" t="s">
        <v>552</v>
      </c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 t="s">
        <v>539</v>
      </c>
      <c r="G192" s="10" t="s">
        <v>553</v>
      </c>
      <c r="H192" s="9" t="s">
        <v>58</v>
      </c>
      <c r="I192" s="9" t="n">
        <v>37</v>
      </c>
      <c r="J192" s="9" t="n">
        <v>531</v>
      </c>
      <c r="K192" s="11" t="n">
        <v>0.126</v>
      </c>
      <c r="L192" s="11" t="n">
        <v>1</v>
      </c>
      <c r="M192" s="9" t="n">
        <v>0</v>
      </c>
      <c r="N192" s="11" t="n">
        <v>0.8</v>
      </c>
      <c r="O192" s="11" t="n">
        <v>0.67</v>
      </c>
      <c r="P192" s="12"/>
      <c r="Q192" s="12"/>
      <c r="R192" s="12"/>
      <c r="S192" s="12"/>
      <c r="T192" s="9" t="s">
        <v>545</v>
      </c>
      <c r="U192" s="9" t="s">
        <v>553</v>
      </c>
    </row>
    <row r="193" customFormat="false" ht="15" hidden="false" customHeight="false" outlineLevel="0" collapsed="false">
      <c r="A193" s="7" t="s">
        <v>43</v>
      </c>
      <c r="B193" s="7" t="s">
        <v>554</v>
      </c>
      <c r="C193" s="8" t="s">
        <v>555</v>
      </c>
      <c r="D193" s="7" t="s">
        <v>556</v>
      </c>
      <c r="E193" s="7" t="n">
        <v>78</v>
      </c>
      <c r="F193" s="9" t="s">
        <v>557</v>
      </c>
      <c r="G193" s="10" t="s">
        <v>558</v>
      </c>
      <c r="H193" s="9" t="s">
        <v>555</v>
      </c>
      <c r="I193" s="9" t="n">
        <v>8</v>
      </c>
      <c r="J193" s="9" t="n">
        <v>54</v>
      </c>
      <c r="K193" s="11" t="n">
        <v>0.692</v>
      </c>
      <c r="L193" s="11" t="n">
        <v>1</v>
      </c>
      <c r="M193" s="9" t="n">
        <v>1</v>
      </c>
      <c r="N193" s="11" t="n">
        <v>1</v>
      </c>
      <c r="O193" s="11" t="n">
        <v>1</v>
      </c>
      <c r="P193" s="12"/>
      <c r="Q193" s="12"/>
      <c r="R193" s="12"/>
      <c r="S193" s="12"/>
      <c r="T193" s="9" t="s">
        <v>559</v>
      </c>
      <c r="U193" s="9" t="s">
        <v>558</v>
      </c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 t="s">
        <v>560</v>
      </c>
      <c r="G194" s="10" t="s">
        <v>561</v>
      </c>
      <c r="H194" s="9"/>
      <c r="I194" s="9" t="n">
        <v>20</v>
      </c>
      <c r="J194" s="9" t="n">
        <v>492</v>
      </c>
      <c r="K194" s="11" t="n">
        <v>6.308</v>
      </c>
      <c r="L194" s="11" t="n">
        <v>1</v>
      </c>
      <c r="M194" s="9" t="n">
        <v>1</v>
      </c>
      <c r="N194" s="11" t="n">
        <v>0.684</v>
      </c>
      <c r="O194" s="11" t="n">
        <v>0.853</v>
      </c>
      <c r="P194" s="12"/>
      <c r="Q194" s="12"/>
      <c r="R194" s="12"/>
      <c r="S194" s="12"/>
      <c r="T194" s="9" t="s">
        <v>559</v>
      </c>
      <c r="U194" s="9" t="s">
        <v>561</v>
      </c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 t="s">
        <v>562</v>
      </c>
      <c r="G195" s="10" t="s">
        <v>563</v>
      </c>
      <c r="H195" s="9"/>
      <c r="I195" s="9" t="n">
        <v>3</v>
      </c>
      <c r="J195" s="9" t="n">
        <v>36</v>
      </c>
      <c r="K195" s="11" t="n">
        <v>0.462</v>
      </c>
      <c r="L195" s="11" t="n">
        <v>1</v>
      </c>
      <c r="M195" s="9" t="n">
        <v>0</v>
      </c>
      <c r="N195" s="11" t="n">
        <v>0.5</v>
      </c>
      <c r="O195" s="11" t="n">
        <v>0.625</v>
      </c>
      <c r="P195" s="12"/>
      <c r="Q195" s="12"/>
      <c r="R195" s="12"/>
      <c r="S195" s="12"/>
      <c r="T195" s="9" t="s">
        <v>559</v>
      </c>
      <c r="U195" s="9" t="s">
        <v>563</v>
      </c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 t="s">
        <v>564</v>
      </c>
      <c r="G196" s="10" t="s">
        <v>565</v>
      </c>
      <c r="H196" s="9" t="s">
        <v>566</v>
      </c>
      <c r="I196" s="9" t="n">
        <v>6</v>
      </c>
      <c r="J196" s="9" t="n">
        <v>60</v>
      </c>
      <c r="K196" s="11" t="n">
        <v>0.769</v>
      </c>
      <c r="L196" s="11" t="n">
        <v>1</v>
      </c>
      <c r="M196" s="9" t="n">
        <v>0</v>
      </c>
      <c r="N196" s="11" t="n">
        <v>0.375</v>
      </c>
      <c r="O196" s="11" t="n">
        <v>0.606</v>
      </c>
      <c r="P196" s="12"/>
      <c r="Q196" s="12"/>
      <c r="R196" s="12"/>
      <c r="S196" s="12"/>
      <c r="T196" s="9" t="s">
        <v>559</v>
      </c>
      <c r="U196" s="9" t="s">
        <v>565</v>
      </c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 t="s">
        <v>554</v>
      </c>
      <c r="G197" s="10" t="s">
        <v>567</v>
      </c>
      <c r="H197" s="9"/>
      <c r="I197" s="9" t="n">
        <v>1</v>
      </c>
      <c r="J197" s="9" t="n">
        <v>0</v>
      </c>
      <c r="K197" s="11" t="n">
        <v>0</v>
      </c>
      <c r="L197" s="11" t="n">
        <v>1</v>
      </c>
      <c r="M197" s="9" t="n">
        <v>0</v>
      </c>
      <c r="N197" s="11" t="n">
        <v>1</v>
      </c>
      <c r="O197" s="11" t="n">
        <v>0.6</v>
      </c>
      <c r="P197" s="12"/>
      <c r="Q197" s="12"/>
      <c r="R197" s="12"/>
      <c r="S197" s="12"/>
      <c r="T197" s="9" t="s">
        <v>559</v>
      </c>
      <c r="U197" s="9" t="s">
        <v>567</v>
      </c>
    </row>
    <row r="198" customFormat="false" ht="15" hidden="false" customHeight="false" outlineLevel="0" collapsed="false">
      <c r="A198" s="7" t="s">
        <v>43</v>
      </c>
      <c r="B198" s="7" t="s">
        <v>568</v>
      </c>
      <c r="C198" s="8" t="s">
        <v>540</v>
      </c>
      <c r="D198" s="7" t="s">
        <v>569</v>
      </c>
      <c r="E198" s="7" t="n">
        <v>1372</v>
      </c>
      <c r="F198" s="9" t="s">
        <v>568</v>
      </c>
      <c r="G198" s="10" t="s">
        <v>570</v>
      </c>
      <c r="H198" s="9" t="s">
        <v>571</v>
      </c>
      <c r="I198" s="9" t="n">
        <v>119</v>
      </c>
      <c r="J198" s="9" t="n">
        <v>677</v>
      </c>
      <c r="K198" s="11" t="n">
        <v>0.51</v>
      </c>
      <c r="L198" s="11" t="n">
        <v>1</v>
      </c>
      <c r="M198" s="9" t="n">
        <v>1</v>
      </c>
      <c r="N198" s="11" t="n">
        <v>0.831</v>
      </c>
      <c r="O198" s="11" t="n">
        <v>0.975</v>
      </c>
      <c r="P198" s="12"/>
      <c r="Q198" s="12"/>
      <c r="R198" s="12"/>
      <c r="S198" s="12"/>
      <c r="T198" s="9" t="s">
        <v>572</v>
      </c>
      <c r="U198" s="9" t="s">
        <v>570</v>
      </c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 t="s">
        <v>568</v>
      </c>
      <c r="G199" s="10" t="s">
        <v>573</v>
      </c>
      <c r="H199" s="9" t="s">
        <v>571</v>
      </c>
      <c r="I199" s="9" t="n">
        <v>1</v>
      </c>
      <c r="J199" s="9" t="n">
        <v>0</v>
      </c>
      <c r="K199" s="11" t="n">
        <v>0</v>
      </c>
      <c r="L199" s="11" t="n">
        <v>1</v>
      </c>
      <c r="M199" s="9" t="n">
        <v>1</v>
      </c>
      <c r="N199" s="11" t="n">
        <v>1</v>
      </c>
      <c r="O199" s="11" t="n">
        <v>0.9</v>
      </c>
      <c r="P199" s="12"/>
      <c r="Q199" s="12"/>
      <c r="R199" s="12"/>
      <c r="S199" s="12"/>
      <c r="T199" s="9" t="s">
        <v>572</v>
      </c>
      <c r="U199" s="9" t="s">
        <v>573</v>
      </c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 t="s">
        <v>568</v>
      </c>
      <c r="G200" s="10" t="s">
        <v>574</v>
      </c>
      <c r="H200" s="9" t="s">
        <v>571</v>
      </c>
      <c r="I200" s="9" t="n">
        <v>2</v>
      </c>
      <c r="J200" s="9" t="n">
        <v>68</v>
      </c>
      <c r="K200" s="11" t="n">
        <v>0.051</v>
      </c>
      <c r="L200" s="11" t="n">
        <v>1</v>
      </c>
      <c r="M200" s="9" t="n">
        <v>1</v>
      </c>
      <c r="N200" s="11" t="n">
        <v>0.5</v>
      </c>
      <c r="O200" s="11" t="n">
        <v>0.875</v>
      </c>
      <c r="P200" s="12"/>
      <c r="Q200" s="12"/>
      <c r="R200" s="12"/>
      <c r="S200" s="12"/>
      <c r="T200" s="9" t="s">
        <v>572</v>
      </c>
      <c r="U200" s="9" t="s">
        <v>574</v>
      </c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 t="s">
        <v>568</v>
      </c>
      <c r="G201" s="10" t="s">
        <v>575</v>
      </c>
      <c r="H201" s="9"/>
      <c r="I201" s="9" t="n">
        <v>9</v>
      </c>
      <c r="J201" s="9" t="n">
        <v>0</v>
      </c>
      <c r="K201" s="11" t="n">
        <v>0</v>
      </c>
      <c r="L201" s="11" t="n">
        <v>1</v>
      </c>
      <c r="M201" s="9" t="n">
        <v>0</v>
      </c>
      <c r="N201" s="11" t="n">
        <v>1</v>
      </c>
      <c r="O201" s="11" t="n">
        <v>0.6</v>
      </c>
      <c r="P201" s="12"/>
      <c r="Q201" s="12"/>
      <c r="R201" s="12"/>
      <c r="S201" s="12"/>
      <c r="T201" s="9" t="s">
        <v>572</v>
      </c>
      <c r="U201" s="9" t="s">
        <v>575</v>
      </c>
    </row>
    <row r="202" customFormat="false" ht="15" hidden="false" customHeight="false" outlineLevel="0" collapsed="false">
      <c r="A202" s="9"/>
      <c r="B202" s="9"/>
      <c r="C202" s="9"/>
      <c r="D202" s="9"/>
      <c r="E202" s="9"/>
      <c r="F202" s="9" t="s">
        <v>568</v>
      </c>
      <c r="G202" s="10" t="s">
        <v>576</v>
      </c>
      <c r="H202" s="9"/>
      <c r="I202" s="9" t="n">
        <v>4</v>
      </c>
      <c r="J202" s="9" t="n">
        <v>0</v>
      </c>
      <c r="K202" s="11" t="n">
        <v>0</v>
      </c>
      <c r="L202" s="11" t="n">
        <v>1</v>
      </c>
      <c r="M202" s="9" t="n">
        <v>0</v>
      </c>
      <c r="N202" s="11" t="n">
        <v>0.833</v>
      </c>
      <c r="O202" s="11" t="n">
        <v>0.575</v>
      </c>
      <c r="P202" s="12"/>
      <c r="Q202" s="12"/>
      <c r="R202" s="12"/>
      <c r="S202" s="12"/>
      <c r="T202" s="9" t="s">
        <v>572</v>
      </c>
      <c r="U202" s="9" t="s">
        <v>576</v>
      </c>
    </row>
    <row r="203" customFormat="false" ht="15" hidden="false" customHeight="false" outlineLevel="0" collapsed="false">
      <c r="A203" s="7" t="s">
        <v>43</v>
      </c>
      <c r="B203" s="7" t="s">
        <v>577</v>
      </c>
      <c r="C203" s="8" t="s">
        <v>578</v>
      </c>
      <c r="D203" s="7" t="s">
        <v>579</v>
      </c>
      <c r="E203" s="7" t="n">
        <v>567</v>
      </c>
      <c r="F203" s="9" t="s">
        <v>580</v>
      </c>
      <c r="G203" s="10" t="s">
        <v>581</v>
      </c>
      <c r="H203" s="9"/>
      <c r="I203" s="9" t="n">
        <v>12</v>
      </c>
      <c r="J203" s="9" t="n">
        <v>242</v>
      </c>
      <c r="K203" s="11" t="n">
        <v>0.448</v>
      </c>
      <c r="L203" s="11" t="n">
        <v>1</v>
      </c>
      <c r="M203" s="9" t="n">
        <v>1</v>
      </c>
      <c r="N203" s="11" t="n">
        <v>0.643</v>
      </c>
      <c r="O203" s="11" t="n">
        <v>0.946</v>
      </c>
      <c r="P203" s="12"/>
      <c r="Q203" s="12"/>
      <c r="R203" s="12"/>
      <c r="S203" s="12"/>
      <c r="T203" s="9" t="s">
        <v>582</v>
      </c>
      <c r="U203" s="9" t="s">
        <v>581</v>
      </c>
    </row>
    <row r="204" customFormat="false" ht="15" hidden="false" customHeight="false" outlineLevel="0" collapsed="false">
      <c r="A204" s="9"/>
      <c r="B204" s="9"/>
      <c r="C204" s="9"/>
      <c r="D204" s="9"/>
      <c r="E204" s="9"/>
      <c r="F204" s="9" t="s">
        <v>577</v>
      </c>
      <c r="G204" s="10" t="s">
        <v>583</v>
      </c>
      <c r="H204" s="9" t="s">
        <v>578</v>
      </c>
      <c r="I204" s="9" t="n">
        <v>111</v>
      </c>
      <c r="J204" s="9" t="n">
        <v>1280</v>
      </c>
      <c r="K204" s="11" t="n">
        <v>2.37</v>
      </c>
      <c r="L204" s="11" t="n">
        <v>1</v>
      </c>
      <c r="M204" s="9" t="n">
        <v>1</v>
      </c>
      <c r="N204" s="11" t="n">
        <v>0.429</v>
      </c>
      <c r="O204" s="11" t="n">
        <v>0.864</v>
      </c>
      <c r="P204" s="12"/>
      <c r="Q204" s="12"/>
      <c r="R204" s="12"/>
      <c r="S204" s="12"/>
      <c r="T204" s="9" t="s">
        <v>582</v>
      </c>
      <c r="U204" s="9" t="s">
        <v>583</v>
      </c>
    </row>
    <row r="205" customFormat="false" ht="15" hidden="false" customHeight="false" outlineLevel="0" collapsed="false">
      <c r="A205" s="9"/>
      <c r="B205" s="9"/>
      <c r="C205" s="9"/>
      <c r="D205" s="9"/>
      <c r="E205" s="9"/>
      <c r="F205" s="9" t="s">
        <v>584</v>
      </c>
      <c r="G205" s="10" t="s">
        <v>585</v>
      </c>
      <c r="H205" s="9" t="s">
        <v>586</v>
      </c>
      <c r="I205" s="9" t="n">
        <v>5</v>
      </c>
      <c r="J205" s="9" t="n">
        <v>32</v>
      </c>
      <c r="K205" s="11" t="n">
        <v>0.059</v>
      </c>
      <c r="L205" s="11" t="n">
        <v>1</v>
      </c>
      <c r="M205" s="9" t="n">
        <v>0.5</v>
      </c>
      <c r="N205" s="11" t="n">
        <v>0.667</v>
      </c>
      <c r="O205" s="11" t="n">
        <v>0.75</v>
      </c>
      <c r="P205" s="12"/>
      <c r="Q205" s="12"/>
      <c r="R205" s="12"/>
      <c r="S205" s="12"/>
      <c r="T205" s="9" t="s">
        <v>582</v>
      </c>
      <c r="U205" s="9" t="s">
        <v>585</v>
      </c>
    </row>
    <row r="206" customFormat="false" ht="15" hidden="false" customHeight="false" outlineLevel="0" collapsed="false">
      <c r="A206" s="9"/>
      <c r="B206" s="9"/>
      <c r="C206" s="9"/>
      <c r="D206" s="9"/>
      <c r="E206" s="9"/>
      <c r="F206" s="9" t="s">
        <v>587</v>
      </c>
      <c r="G206" s="10" t="s">
        <v>588</v>
      </c>
      <c r="H206" s="9" t="s">
        <v>589</v>
      </c>
      <c r="I206" s="9" t="n">
        <v>1</v>
      </c>
      <c r="J206" s="9" t="n">
        <v>2</v>
      </c>
      <c r="K206" s="11" t="n">
        <v>0.004</v>
      </c>
      <c r="L206" s="11" t="n">
        <v>1</v>
      </c>
      <c r="M206" s="9" t="n">
        <v>0.5</v>
      </c>
      <c r="N206" s="11" t="n">
        <v>1</v>
      </c>
      <c r="O206" s="11" t="n">
        <v>0.75</v>
      </c>
      <c r="P206" s="12"/>
      <c r="Q206" s="12"/>
      <c r="R206" s="12"/>
      <c r="S206" s="12"/>
      <c r="T206" s="9" t="s">
        <v>582</v>
      </c>
      <c r="U206" s="9" t="s">
        <v>588</v>
      </c>
    </row>
    <row r="207" customFormat="false" ht="15" hidden="false" customHeight="false" outlineLevel="0" collapsed="false">
      <c r="A207" s="9"/>
      <c r="B207" s="9"/>
      <c r="C207" s="9"/>
      <c r="D207" s="9"/>
      <c r="E207" s="9"/>
      <c r="F207" s="9" t="s">
        <v>590</v>
      </c>
      <c r="G207" s="10" t="s">
        <v>591</v>
      </c>
      <c r="H207" s="9" t="s">
        <v>592</v>
      </c>
      <c r="I207" s="9" t="n">
        <v>12</v>
      </c>
      <c r="J207" s="9" t="n">
        <v>362</v>
      </c>
      <c r="K207" s="11" t="n">
        <v>0.67</v>
      </c>
      <c r="L207" s="11" t="n">
        <v>1</v>
      </c>
      <c r="M207" s="9" t="n">
        <v>0</v>
      </c>
      <c r="N207" s="11" t="n">
        <v>0.893</v>
      </c>
      <c r="O207" s="11" t="n">
        <v>0.684</v>
      </c>
      <c r="P207" s="12"/>
      <c r="Q207" s="12"/>
      <c r="R207" s="12"/>
      <c r="S207" s="12"/>
      <c r="T207" s="9" t="s">
        <v>582</v>
      </c>
      <c r="U207" s="9" t="s">
        <v>591</v>
      </c>
    </row>
    <row r="208" customFormat="false" ht="15" hidden="false" customHeight="false" outlineLevel="0" collapsed="false">
      <c r="A208" s="7" t="s">
        <v>43</v>
      </c>
      <c r="B208" s="7" t="s">
        <v>593</v>
      </c>
      <c r="C208" s="8" t="s">
        <v>594</v>
      </c>
      <c r="D208" s="7" t="s">
        <v>595</v>
      </c>
      <c r="E208" s="7" t="n">
        <v>640</v>
      </c>
      <c r="F208" s="9" t="s">
        <v>593</v>
      </c>
      <c r="G208" s="10" t="s">
        <v>596</v>
      </c>
      <c r="H208" s="9" t="s">
        <v>594</v>
      </c>
      <c r="I208" s="9" t="n">
        <v>3</v>
      </c>
      <c r="J208" s="9" t="n">
        <v>85</v>
      </c>
      <c r="K208" s="11" t="n">
        <v>0.143</v>
      </c>
      <c r="L208" s="11" t="n">
        <v>1</v>
      </c>
      <c r="M208" s="9" t="n">
        <v>1</v>
      </c>
      <c r="N208" s="11" t="n">
        <v>0.75</v>
      </c>
      <c r="O208" s="11" t="n">
        <v>0.963</v>
      </c>
      <c r="P208" s="12"/>
      <c r="Q208" s="12"/>
      <c r="R208" s="12"/>
      <c r="S208" s="12"/>
      <c r="T208" s="9" t="s">
        <v>597</v>
      </c>
      <c r="U208" s="9" t="s">
        <v>596</v>
      </c>
    </row>
    <row r="209" customFormat="false" ht="15" hidden="false" customHeight="false" outlineLevel="0" collapsed="false">
      <c r="A209" s="9"/>
      <c r="B209" s="9"/>
      <c r="C209" s="9"/>
      <c r="D209" s="9"/>
      <c r="E209" s="9"/>
      <c r="F209" s="9" t="s">
        <v>593</v>
      </c>
      <c r="G209" s="10" t="s">
        <v>598</v>
      </c>
      <c r="H209" s="9" t="s">
        <v>594</v>
      </c>
      <c r="I209" s="9" t="n">
        <v>11</v>
      </c>
      <c r="J209" s="9" t="n">
        <v>50</v>
      </c>
      <c r="K209" s="11" t="n">
        <v>0.084</v>
      </c>
      <c r="L209" s="11" t="n">
        <v>1</v>
      </c>
      <c r="M209" s="9" t="n">
        <v>1</v>
      </c>
      <c r="N209" s="11" t="n">
        <v>1</v>
      </c>
      <c r="O209" s="11" t="n">
        <v>0.95</v>
      </c>
      <c r="P209" s="12"/>
      <c r="Q209" s="12"/>
      <c r="R209" s="12"/>
      <c r="S209" s="12"/>
      <c r="T209" s="9" t="s">
        <v>597</v>
      </c>
      <c r="U209" s="9" t="s">
        <v>598</v>
      </c>
    </row>
    <row r="210" customFormat="false" ht="15" hidden="false" customHeight="false" outlineLevel="0" collapsed="false">
      <c r="A210" s="9"/>
      <c r="B210" s="9"/>
      <c r="C210" s="9"/>
      <c r="D210" s="9"/>
      <c r="E210" s="9"/>
      <c r="F210" s="9" t="s">
        <v>593</v>
      </c>
      <c r="G210" s="10" t="s">
        <v>599</v>
      </c>
      <c r="H210" s="9"/>
      <c r="I210" s="9" t="n">
        <v>1</v>
      </c>
      <c r="J210" s="9" t="n">
        <v>5</v>
      </c>
      <c r="K210" s="11" t="n">
        <v>0.008</v>
      </c>
      <c r="L210" s="11" t="n">
        <v>1</v>
      </c>
      <c r="M210" s="9" t="n">
        <v>0</v>
      </c>
      <c r="N210" s="11" t="n">
        <v>1</v>
      </c>
      <c r="O210" s="11" t="n">
        <v>0.6</v>
      </c>
      <c r="P210" s="12"/>
      <c r="Q210" s="12"/>
      <c r="R210" s="12"/>
      <c r="S210" s="12"/>
      <c r="T210" s="9" t="s">
        <v>597</v>
      </c>
      <c r="U210" s="9" t="s">
        <v>599</v>
      </c>
    </row>
    <row r="211" customFormat="false" ht="15" hidden="false" customHeight="false" outlineLevel="0" collapsed="false">
      <c r="A211" s="9"/>
      <c r="B211" s="9"/>
      <c r="C211" s="9"/>
      <c r="D211" s="9"/>
      <c r="E211" s="9"/>
      <c r="F211" s="9" t="s">
        <v>593</v>
      </c>
      <c r="G211" s="10" t="s">
        <v>600</v>
      </c>
      <c r="H211" s="9"/>
      <c r="I211" s="9" t="n">
        <v>2</v>
      </c>
      <c r="J211" s="9" t="n">
        <v>3</v>
      </c>
      <c r="K211" s="11" t="n">
        <v>0.005</v>
      </c>
      <c r="L211" s="11" t="n">
        <v>1</v>
      </c>
      <c r="M211" s="9" t="n">
        <v>0</v>
      </c>
      <c r="N211" s="11" t="n">
        <v>1</v>
      </c>
      <c r="O211" s="11" t="n">
        <v>0.6</v>
      </c>
      <c r="P211" s="12"/>
      <c r="Q211" s="12"/>
      <c r="R211" s="12"/>
      <c r="S211" s="12"/>
      <c r="T211" s="9" t="s">
        <v>597</v>
      </c>
      <c r="U211" s="9" t="s">
        <v>600</v>
      </c>
    </row>
    <row r="212" customFormat="false" ht="15" hidden="false" customHeight="false" outlineLevel="0" collapsed="false">
      <c r="A212" s="7" t="s">
        <v>43</v>
      </c>
      <c r="B212" s="7" t="s">
        <v>601</v>
      </c>
      <c r="C212" s="8" t="s">
        <v>502</v>
      </c>
      <c r="D212" s="7" t="s">
        <v>602</v>
      </c>
      <c r="E212" s="7" t="n">
        <v>355</v>
      </c>
      <c r="F212" s="9" t="s">
        <v>601</v>
      </c>
      <c r="G212" s="10" t="s">
        <v>603</v>
      </c>
      <c r="H212" s="9" t="s">
        <v>505</v>
      </c>
      <c r="I212" s="9" t="n">
        <v>29</v>
      </c>
      <c r="J212" s="9" t="n">
        <v>324</v>
      </c>
      <c r="K212" s="11" t="n">
        <v>0.976</v>
      </c>
      <c r="L212" s="11" t="n">
        <v>1</v>
      </c>
      <c r="M212" s="9" t="n">
        <v>1</v>
      </c>
      <c r="N212" s="11" t="n">
        <v>1</v>
      </c>
      <c r="O212" s="11" t="n">
        <v>1</v>
      </c>
      <c r="P212" s="12"/>
      <c r="Q212" s="12"/>
      <c r="R212" s="12"/>
      <c r="S212" s="12"/>
      <c r="T212" s="9" t="s">
        <v>604</v>
      </c>
      <c r="U212" s="9" t="s">
        <v>603</v>
      </c>
    </row>
    <row r="213" customFormat="false" ht="15" hidden="false" customHeight="false" outlineLevel="0" collapsed="false">
      <c r="A213" s="9"/>
      <c r="B213" s="9"/>
      <c r="C213" s="9"/>
      <c r="D213" s="9"/>
      <c r="E213" s="9"/>
      <c r="F213" s="9" t="s">
        <v>601</v>
      </c>
      <c r="G213" s="10" t="s">
        <v>605</v>
      </c>
      <c r="H213" s="9" t="s">
        <v>606</v>
      </c>
      <c r="I213" s="9" t="n">
        <v>19</v>
      </c>
      <c r="J213" s="9" t="n">
        <v>44</v>
      </c>
      <c r="K213" s="11" t="n">
        <v>0.133</v>
      </c>
      <c r="L213" s="11" t="n">
        <v>1</v>
      </c>
      <c r="M213" s="9" t="n">
        <v>1</v>
      </c>
      <c r="N213" s="11" t="n">
        <v>1</v>
      </c>
      <c r="O213" s="11" t="n">
        <v>1</v>
      </c>
      <c r="P213" s="12"/>
      <c r="Q213" s="12"/>
      <c r="R213" s="12"/>
      <c r="S213" s="12"/>
      <c r="T213" s="9" t="s">
        <v>604</v>
      </c>
      <c r="U213" s="9" t="s">
        <v>605</v>
      </c>
    </row>
    <row r="214" customFormat="false" ht="15" hidden="false" customHeight="false" outlineLevel="0" collapsed="false">
      <c r="A214" s="9"/>
      <c r="B214" s="9"/>
      <c r="C214" s="9"/>
      <c r="D214" s="9"/>
      <c r="E214" s="9"/>
      <c r="F214" s="9" t="s">
        <v>607</v>
      </c>
      <c r="G214" s="10" t="s">
        <v>608</v>
      </c>
      <c r="H214" s="9"/>
      <c r="I214" s="9" t="n">
        <v>1</v>
      </c>
      <c r="J214" s="9" t="n">
        <v>0</v>
      </c>
      <c r="K214" s="11" t="n">
        <v>0</v>
      </c>
      <c r="L214" s="11" t="n">
        <v>1</v>
      </c>
      <c r="M214" s="9" t="n">
        <v>0</v>
      </c>
      <c r="N214" s="11" t="n">
        <v>1</v>
      </c>
      <c r="O214" s="11" t="n">
        <v>0.6</v>
      </c>
      <c r="P214" s="12"/>
      <c r="Q214" s="12"/>
      <c r="R214" s="12"/>
      <c r="S214" s="12"/>
      <c r="T214" s="9" t="s">
        <v>604</v>
      </c>
      <c r="U214" s="9" t="s">
        <v>608</v>
      </c>
    </row>
    <row r="215" customFormat="false" ht="15" hidden="false" customHeight="false" outlineLevel="0" collapsed="false">
      <c r="A215" s="9"/>
      <c r="B215" s="9"/>
      <c r="C215" s="9"/>
      <c r="D215" s="9"/>
      <c r="E215" s="9"/>
      <c r="F215" s="9" t="s">
        <v>601</v>
      </c>
      <c r="G215" s="10" t="s">
        <v>609</v>
      </c>
      <c r="H215" s="9" t="s">
        <v>610</v>
      </c>
      <c r="I215" s="9" t="n">
        <v>16</v>
      </c>
      <c r="J215" s="9" t="n">
        <v>231</v>
      </c>
      <c r="K215" s="11" t="n">
        <v>0.696</v>
      </c>
      <c r="L215" s="11" t="n">
        <v>1</v>
      </c>
      <c r="M215" s="9" t="n">
        <v>0</v>
      </c>
      <c r="N215" s="11" t="n">
        <v>0.182</v>
      </c>
      <c r="O215" s="11" t="n">
        <v>0.577</v>
      </c>
      <c r="P215" s="12"/>
      <c r="Q215" s="12"/>
      <c r="R215" s="12"/>
      <c r="S215" s="12"/>
      <c r="T215" s="9" t="s">
        <v>604</v>
      </c>
      <c r="U215" s="9" t="s">
        <v>609</v>
      </c>
    </row>
    <row r="216" customFormat="false" ht="15" hidden="false" customHeight="false" outlineLevel="0" collapsed="false">
      <c r="A216" s="9"/>
      <c r="B216" s="9"/>
      <c r="C216" s="9"/>
      <c r="D216" s="9"/>
      <c r="E216" s="9"/>
      <c r="F216" s="9" t="s">
        <v>601</v>
      </c>
      <c r="G216" s="10" t="s">
        <v>611</v>
      </c>
      <c r="H216" s="9"/>
      <c r="I216" s="9" t="n">
        <v>2</v>
      </c>
      <c r="J216" s="9" t="n">
        <v>0</v>
      </c>
      <c r="K216" s="11" t="n">
        <v>0</v>
      </c>
      <c r="L216" s="11" t="n">
        <v>1</v>
      </c>
      <c r="M216" s="9" t="n">
        <v>0</v>
      </c>
      <c r="N216" s="11" t="n">
        <v>0.667</v>
      </c>
      <c r="O216" s="11" t="n">
        <v>0.55</v>
      </c>
      <c r="P216" s="12"/>
      <c r="Q216" s="12"/>
      <c r="R216" s="12"/>
      <c r="S216" s="12"/>
      <c r="T216" s="9" t="s">
        <v>604</v>
      </c>
      <c r="U216" s="9" t="s">
        <v>611</v>
      </c>
    </row>
    <row r="217" customFormat="false" ht="15" hidden="false" customHeight="false" outlineLevel="0" collapsed="false">
      <c r="A217" s="7" t="s">
        <v>43</v>
      </c>
      <c r="B217" s="7" t="s">
        <v>612</v>
      </c>
      <c r="C217" s="8" t="s">
        <v>457</v>
      </c>
      <c r="D217" s="7" t="s">
        <v>613</v>
      </c>
      <c r="E217" s="7" t="n">
        <v>69</v>
      </c>
      <c r="F217" s="9" t="s">
        <v>612</v>
      </c>
      <c r="G217" s="10" t="s">
        <v>614</v>
      </c>
      <c r="H217" s="9" t="s">
        <v>457</v>
      </c>
      <c r="I217" s="9" t="n">
        <v>19</v>
      </c>
      <c r="J217" s="9" t="n">
        <v>100</v>
      </c>
      <c r="K217" s="11" t="n">
        <v>1.449</v>
      </c>
      <c r="L217" s="11" t="n">
        <v>1</v>
      </c>
      <c r="M217" s="9" t="n">
        <v>1</v>
      </c>
      <c r="N217" s="11" t="n">
        <v>1</v>
      </c>
      <c r="O217" s="11" t="n">
        <v>1</v>
      </c>
      <c r="P217" s="12"/>
      <c r="Q217" s="12"/>
      <c r="R217" s="12"/>
      <c r="S217" s="12"/>
      <c r="T217" s="9" t="s">
        <v>615</v>
      </c>
      <c r="U217" s="9" t="s">
        <v>614</v>
      </c>
    </row>
    <row r="218" customFormat="false" ht="15" hidden="false" customHeight="false" outlineLevel="0" collapsed="false">
      <c r="A218" s="9"/>
      <c r="B218" s="9"/>
      <c r="C218" s="9"/>
      <c r="D218" s="9"/>
      <c r="E218" s="9"/>
      <c r="F218" s="9" t="s">
        <v>612</v>
      </c>
      <c r="G218" s="10" t="s">
        <v>616</v>
      </c>
      <c r="H218" s="9" t="s">
        <v>457</v>
      </c>
      <c r="I218" s="9" t="n">
        <v>7</v>
      </c>
      <c r="J218" s="9" t="n">
        <v>48</v>
      </c>
      <c r="K218" s="11" t="n">
        <v>0.696</v>
      </c>
      <c r="L218" s="11" t="n">
        <v>1</v>
      </c>
      <c r="M218" s="9" t="n">
        <v>1</v>
      </c>
      <c r="N218" s="11" t="n">
        <v>1</v>
      </c>
      <c r="O218" s="11" t="n">
        <v>1</v>
      </c>
      <c r="P218" s="12"/>
      <c r="Q218" s="12"/>
      <c r="R218" s="12"/>
      <c r="S218" s="12"/>
      <c r="T218" s="9" t="s">
        <v>615</v>
      </c>
      <c r="U218" s="9" t="s">
        <v>616</v>
      </c>
    </row>
    <row r="219" customFormat="false" ht="15" hidden="false" customHeight="false" outlineLevel="0" collapsed="false">
      <c r="A219" s="9"/>
      <c r="B219" s="9"/>
      <c r="C219" s="9"/>
      <c r="D219" s="9"/>
      <c r="E219" s="9"/>
      <c r="F219" s="9" t="s">
        <v>612</v>
      </c>
      <c r="G219" s="10" t="s">
        <v>617</v>
      </c>
      <c r="H219" s="9" t="s">
        <v>457</v>
      </c>
      <c r="I219" s="9" t="n">
        <v>1</v>
      </c>
      <c r="J219" s="9" t="n">
        <v>0</v>
      </c>
      <c r="K219" s="11" t="n">
        <v>0</v>
      </c>
      <c r="L219" s="11" t="n">
        <v>1</v>
      </c>
      <c r="M219" s="9" t="n">
        <v>1</v>
      </c>
      <c r="N219" s="11" t="n">
        <v>1</v>
      </c>
      <c r="O219" s="11" t="n">
        <v>0.9</v>
      </c>
      <c r="P219" s="12"/>
      <c r="Q219" s="12"/>
      <c r="R219" s="12"/>
      <c r="S219" s="12"/>
      <c r="T219" s="9" t="s">
        <v>615</v>
      </c>
      <c r="U219" s="9" t="s">
        <v>617</v>
      </c>
    </row>
    <row r="220" customFormat="false" ht="15" hidden="false" customHeight="false" outlineLevel="0" collapsed="false">
      <c r="A220" s="9"/>
      <c r="B220" s="9"/>
      <c r="C220" s="9"/>
      <c r="D220" s="9"/>
      <c r="E220" s="9"/>
      <c r="F220" s="9" t="s">
        <v>612</v>
      </c>
      <c r="G220" s="10" t="s">
        <v>618</v>
      </c>
      <c r="H220" s="9" t="s">
        <v>457</v>
      </c>
      <c r="I220" s="9" t="n">
        <v>1</v>
      </c>
      <c r="J220" s="9" t="n">
        <v>0</v>
      </c>
      <c r="K220" s="11" t="n">
        <v>0</v>
      </c>
      <c r="L220" s="11" t="n">
        <v>1</v>
      </c>
      <c r="M220" s="9" t="n">
        <v>1</v>
      </c>
      <c r="N220" s="11" t="n">
        <v>0.5</v>
      </c>
      <c r="O220" s="11" t="n">
        <v>0.825</v>
      </c>
      <c r="P220" s="12"/>
      <c r="Q220" s="12"/>
      <c r="R220" s="12"/>
      <c r="S220" s="12"/>
      <c r="T220" s="9" t="s">
        <v>615</v>
      </c>
      <c r="U220" s="9" t="s">
        <v>618</v>
      </c>
    </row>
    <row r="221" customFormat="false" ht="15" hidden="false" customHeight="false" outlineLevel="0" collapsed="false">
      <c r="A221" s="9"/>
      <c r="B221" s="9"/>
      <c r="C221" s="9"/>
      <c r="D221" s="9"/>
      <c r="E221" s="9"/>
      <c r="F221" s="9" t="s">
        <v>619</v>
      </c>
      <c r="G221" s="10" t="s">
        <v>620</v>
      </c>
      <c r="H221" s="9" t="s">
        <v>621</v>
      </c>
      <c r="I221" s="9" t="n">
        <v>17</v>
      </c>
      <c r="J221" s="9" t="n">
        <v>152</v>
      </c>
      <c r="K221" s="11" t="n">
        <v>2.203</v>
      </c>
      <c r="L221" s="11" t="n">
        <v>1</v>
      </c>
      <c r="M221" s="9" t="n">
        <v>0</v>
      </c>
      <c r="N221" s="11" t="n">
        <v>0.8</v>
      </c>
      <c r="O221" s="11" t="n">
        <v>0.62</v>
      </c>
      <c r="P221" s="12"/>
      <c r="Q221" s="12"/>
      <c r="R221" s="12"/>
      <c r="S221" s="12"/>
      <c r="T221" s="9" t="s">
        <v>615</v>
      </c>
      <c r="U221" s="9" t="s">
        <v>620</v>
      </c>
    </row>
    <row r="222" customFormat="false" ht="15" hidden="false" customHeight="false" outlineLevel="0" collapsed="false">
      <c r="A222" s="7" t="s">
        <v>43</v>
      </c>
      <c r="B222" s="7" t="s">
        <v>622</v>
      </c>
      <c r="C222" s="8" t="s">
        <v>421</v>
      </c>
      <c r="D222" s="7" t="s">
        <v>623</v>
      </c>
      <c r="E222" s="7" t="n">
        <v>1582</v>
      </c>
      <c r="F222" s="9" t="s">
        <v>624</v>
      </c>
      <c r="G222" s="10" t="s">
        <v>625</v>
      </c>
      <c r="H222" s="9" t="s">
        <v>428</v>
      </c>
      <c r="I222" s="9" t="n">
        <v>11</v>
      </c>
      <c r="J222" s="9" t="n">
        <v>264</v>
      </c>
      <c r="K222" s="11" t="n">
        <v>0.182</v>
      </c>
      <c r="L222" s="11" t="n">
        <v>1</v>
      </c>
      <c r="M222" s="9" t="n">
        <v>1</v>
      </c>
      <c r="N222" s="11" t="n">
        <v>1</v>
      </c>
      <c r="O222" s="11" t="n">
        <v>1</v>
      </c>
      <c r="P222" s="12"/>
      <c r="Q222" s="12"/>
      <c r="R222" s="12"/>
      <c r="S222" s="12"/>
      <c r="T222" s="9" t="s">
        <v>626</v>
      </c>
      <c r="U222" s="9" t="s">
        <v>625</v>
      </c>
    </row>
    <row r="223" customFormat="false" ht="15" hidden="false" customHeight="false" outlineLevel="0" collapsed="false">
      <c r="A223" s="9"/>
      <c r="B223" s="9"/>
      <c r="C223" s="9"/>
      <c r="D223" s="9"/>
      <c r="E223" s="9"/>
      <c r="F223" s="9" t="s">
        <v>624</v>
      </c>
      <c r="G223" s="10" t="s">
        <v>627</v>
      </c>
      <c r="H223" s="9"/>
      <c r="I223" s="9" t="n">
        <v>13</v>
      </c>
      <c r="J223" s="9" t="n">
        <v>178</v>
      </c>
      <c r="K223" s="11" t="n">
        <v>0.123</v>
      </c>
      <c r="L223" s="11" t="n">
        <v>1</v>
      </c>
      <c r="M223" s="9" t="n">
        <v>1</v>
      </c>
      <c r="N223" s="11" t="n">
        <v>0.722</v>
      </c>
      <c r="O223" s="11" t="n">
        <v>0.958</v>
      </c>
      <c r="P223" s="12"/>
      <c r="Q223" s="12"/>
      <c r="R223" s="12"/>
      <c r="S223" s="12"/>
      <c r="T223" s="9" t="s">
        <v>626</v>
      </c>
      <c r="U223" s="9" t="s">
        <v>627</v>
      </c>
    </row>
    <row r="224" customFormat="false" ht="15" hidden="false" customHeight="false" outlineLevel="0" collapsed="false">
      <c r="A224" s="9"/>
      <c r="B224" s="9"/>
      <c r="C224" s="9"/>
      <c r="D224" s="9"/>
      <c r="E224" s="9"/>
      <c r="F224" s="9" t="s">
        <v>622</v>
      </c>
      <c r="G224" s="10" t="s">
        <v>628</v>
      </c>
      <c r="H224" s="9" t="s">
        <v>428</v>
      </c>
      <c r="I224" s="9" t="n">
        <v>5</v>
      </c>
      <c r="J224" s="9" t="n">
        <v>15</v>
      </c>
      <c r="K224" s="11" t="n">
        <v>0.01</v>
      </c>
      <c r="L224" s="11" t="n">
        <v>1</v>
      </c>
      <c r="M224" s="9" t="n">
        <v>1</v>
      </c>
      <c r="N224" s="11" t="n">
        <v>0.857</v>
      </c>
      <c r="O224" s="11" t="n">
        <v>0.879</v>
      </c>
      <c r="P224" s="12"/>
      <c r="Q224" s="12"/>
      <c r="R224" s="12"/>
      <c r="S224" s="12"/>
      <c r="T224" s="9" t="s">
        <v>626</v>
      </c>
      <c r="U224" s="9" t="s">
        <v>628</v>
      </c>
    </row>
    <row r="225" customFormat="false" ht="15" hidden="false" customHeight="false" outlineLevel="0" collapsed="false">
      <c r="A225" s="9"/>
      <c r="B225" s="9"/>
      <c r="C225" s="9"/>
      <c r="D225" s="9"/>
      <c r="E225" s="9"/>
      <c r="F225" s="9" t="s">
        <v>624</v>
      </c>
      <c r="G225" s="10" t="s">
        <v>629</v>
      </c>
      <c r="H225" s="9" t="s">
        <v>428</v>
      </c>
      <c r="I225" s="9" t="n">
        <v>2</v>
      </c>
      <c r="J225" s="9" t="n">
        <v>9</v>
      </c>
      <c r="K225" s="11" t="n">
        <v>0.006</v>
      </c>
      <c r="L225" s="11" t="n">
        <v>1</v>
      </c>
      <c r="M225" s="9" t="n">
        <v>1</v>
      </c>
      <c r="N225" s="11" t="n">
        <v>0.833</v>
      </c>
      <c r="O225" s="11" t="n">
        <v>0.875</v>
      </c>
      <c r="P225" s="12"/>
      <c r="Q225" s="12"/>
      <c r="R225" s="12"/>
      <c r="S225" s="12"/>
      <c r="T225" s="9" t="s">
        <v>626</v>
      </c>
      <c r="U225" s="9" t="s">
        <v>629</v>
      </c>
    </row>
    <row r="226" customFormat="false" ht="15" hidden="false" customHeight="false" outlineLevel="0" collapsed="false">
      <c r="A226" s="9"/>
      <c r="B226" s="9"/>
      <c r="C226" s="9"/>
      <c r="D226" s="9"/>
      <c r="E226" s="9"/>
      <c r="F226" s="9" t="s">
        <v>630</v>
      </c>
      <c r="G226" s="10" t="s">
        <v>631</v>
      </c>
      <c r="H226" s="9"/>
      <c r="I226" s="9" t="n">
        <v>12</v>
      </c>
      <c r="J226" s="9" t="n">
        <v>244</v>
      </c>
      <c r="K226" s="11" t="n">
        <v>0.168</v>
      </c>
      <c r="L226" s="11" t="n">
        <v>1</v>
      </c>
      <c r="M226" s="9" t="n">
        <v>0</v>
      </c>
      <c r="N226" s="11" t="n">
        <v>1</v>
      </c>
      <c r="O226" s="11" t="n">
        <v>0.7</v>
      </c>
      <c r="P226" s="12"/>
      <c r="Q226" s="12"/>
      <c r="R226" s="12"/>
      <c r="S226" s="12"/>
      <c r="T226" s="9" t="s">
        <v>626</v>
      </c>
      <c r="U226" s="9" t="s">
        <v>631</v>
      </c>
    </row>
    <row r="227" customFormat="false" ht="15" hidden="false" customHeight="false" outlineLevel="0" collapsed="false">
      <c r="A227" s="7" t="s">
        <v>43</v>
      </c>
      <c r="B227" s="7" t="s">
        <v>632</v>
      </c>
      <c r="C227" s="8" t="s">
        <v>502</v>
      </c>
      <c r="D227" s="7" t="s">
        <v>633</v>
      </c>
      <c r="E227" s="7" t="n">
        <v>8682</v>
      </c>
      <c r="F227" s="9" t="s">
        <v>632</v>
      </c>
      <c r="G227" s="10" t="s">
        <v>634</v>
      </c>
      <c r="H227" s="9" t="s">
        <v>505</v>
      </c>
      <c r="I227" s="9" t="n">
        <v>201</v>
      </c>
      <c r="J227" s="9" t="n">
        <v>2358</v>
      </c>
      <c r="K227" s="11" t="n">
        <v>0.277</v>
      </c>
      <c r="L227" s="11" t="n">
        <v>1</v>
      </c>
      <c r="M227" s="9" t="n">
        <v>1</v>
      </c>
      <c r="N227" s="11" t="n">
        <v>1</v>
      </c>
      <c r="O227" s="11" t="n">
        <v>1</v>
      </c>
      <c r="P227" s="12"/>
      <c r="Q227" s="12"/>
      <c r="R227" s="12"/>
      <c r="S227" s="12"/>
      <c r="T227" s="9" t="s">
        <v>635</v>
      </c>
      <c r="U227" s="9" t="s">
        <v>634</v>
      </c>
    </row>
    <row r="228" customFormat="false" ht="15" hidden="false" customHeight="false" outlineLevel="0" collapsed="false">
      <c r="A228" s="9"/>
      <c r="B228" s="9"/>
      <c r="C228" s="9"/>
      <c r="D228" s="9"/>
      <c r="E228" s="9"/>
      <c r="F228" s="9" t="s">
        <v>636</v>
      </c>
      <c r="G228" s="10" t="s">
        <v>637</v>
      </c>
      <c r="H228" s="9" t="s">
        <v>638</v>
      </c>
      <c r="I228" s="9" t="n">
        <v>50</v>
      </c>
      <c r="J228" s="9" t="n">
        <v>751</v>
      </c>
      <c r="K228" s="11" t="n">
        <v>0.088</v>
      </c>
      <c r="L228" s="11" t="n">
        <v>1</v>
      </c>
      <c r="M228" s="9" t="n">
        <v>1</v>
      </c>
      <c r="N228" s="11" t="n">
        <v>1</v>
      </c>
      <c r="O228" s="11" t="n">
        <v>0.95</v>
      </c>
      <c r="P228" s="12"/>
      <c r="Q228" s="12"/>
      <c r="R228" s="12"/>
      <c r="S228" s="12"/>
      <c r="T228" s="9" t="s">
        <v>635</v>
      </c>
      <c r="U228" s="9" t="s">
        <v>637</v>
      </c>
    </row>
    <row r="229" customFormat="false" ht="15" hidden="false" customHeight="false" outlineLevel="0" collapsed="false">
      <c r="A229" s="9"/>
      <c r="B229" s="9"/>
      <c r="C229" s="9"/>
      <c r="D229" s="9"/>
      <c r="E229" s="9"/>
      <c r="F229" s="9" t="s">
        <v>632</v>
      </c>
      <c r="G229" s="10" t="s">
        <v>639</v>
      </c>
      <c r="H229" s="9"/>
      <c r="I229" s="9" t="n">
        <v>6</v>
      </c>
      <c r="J229" s="9" t="n">
        <v>108</v>
      </c>
      <c r="K229" s="11" t="n">
        <v>0.013</v>
      </c>
      <c r="L229" s="11" t="n">
        <v>1</v>
      </c>
      <c r="M229" s="9" t="n">
        <v>0</v>
      </c>
      <c r="N229" s="11" t="n">
        <v>1</v>
      </c>
      <c r="O229" s="11" t="n">
        <v>0.6</v>
      </c>
      <c r="P229" s="12"/>
      <c r="Q229" s="12"/>
      <c r="R229" s="12"/>
      <c r="S229" s="12"/>
      <c r="T229" s="9" t="s">
        <v>635</v>
      </c>
      <c r="U229" s="9" t="s">
        <v>639</v>
      </c>
    </row>
    <row r="230" customFormat="false" ht="15" hidden="false" customHeight="false" outlineLevel="0" collapsed="false">
      <c r="A230" s="9"/>
      <c r="B230" s="9"/>
      <c r="C230" s="9"/>
      <c r="D230" s="9"/>
      <c r="E230" s="9"/>
      <c r="F230" s="9" t="s">
        <v>632</v>
      </c>
      <c r="G230" s="10" t="s">
        <v>640</v>
      </c>
      <c r="H230" s="9"/>
      <c r="I230" s="9" t="n">
        <v>1</v>
      </c>
      <c r="J230" s="9" t="n">
        <v>7</v>
      </c>
      <c r="K230" s="11" t="n">
        <v>0.001</v>
      </c>
      <c r="L230" s="11" t="n">
        <v>1</v>
      </c>
      <c r="M230" s="9" t="n">
        <v>0</v>
      </c>
      <c r="N230" s="11" t="n">
        <v>1</v>
      </c>
      <c r="O230" s="11" t="n">
        <v>0.6</v>
      </c>
      <c r="P230" s="12"/>
      <c r="Q230" s="12"/>
      <c r="R230" s="12"/>
      <c r="S230" s="12"/>
      <c r="T230" s="9" t="s">
        <v>635</v>
      </c>
      <c r="U230" s="9" t="s">
        <v>640</v>
      </c>
    </row>
    <row r="231" customFormat="false" ht="15" hidden="false" customHeight="false" outlineLevel="0" collapsed="false">
      <c r="A231" s="9"/>
      <c r="B231" s="9"/>
      <c r="C231" s="9"/>
      <c r="D231" s="9"/>
      <c r="E231" s="9"/>
      <c r="F231" s="9" t="s">
        <v>632</v>
      </c>
      <c r="G231" s="10" t="s">
        <v>641</v>
      </c>
      <c r="H231" s="9"/>
      <c r="I231" s="9" t="n">
        <v>1</v>
      </c>
      <c r="J231" s="9" t="n">
        <v>0</v>
      </c>
      <c r="K231" s="11" t="n">
        <v>0</v>
      </c>
      <c r="L231" s="11" t="n">
        <v>1</v>
      </c>
      <c r="M231" s="9" t="n">
        <v>0</v>
      </c>
      <c r="N231" s="11" t="n">
        <v>1</v>
      </c>
      <c r="O231" s="11" t="n">
        <v>0.6</v>
      </c>
      <c r="P231" s="12"/>
      <c r="Q231" s="12"/>
      <c r="R231" s="12"/>
      <c r="S231" s="12"/>
      <c r="T231" s="9" t="s">
        <v>635</v>
      </c>
      <c r="U231" s="9" t="s">
        <v>641</v>
      </c>
    </row>
    <row r="232" customFormat="false" ht="15" hidden="false" customHeight="false" outlineLevel="0" collapsed="false">
      <c r="A232" s="7" t="s">
        <v>43</v>
      </c>
      <c r="B232" s="7" t="s">
        <v>642</v>
      </c>
      <c r="C232" s="8" t="s">
        <v>643</v>
      </c>
      <c r="D232" s="7" t="s">
        <v>644</v>
      </c>
      <c r="E232" s="7" t="n">
        <v>3557</v>
      </c>
      <c r="F232" s="9" t="s">
        <v>642</v>
      </c>
      <c r="G232" s="10" t="s">
        <v>645</v>
      </c>
      <c r="H232" s="9" t="s">
        <v>646</v>
      </c>
      <c r="I232" s="9" t="n">
        <v>63</v>
      </c>
      <c r="J232" s="9" t="n">
        <v>1862</v>
      </c>
      <c r="K232" s="11" t="n">
        <v>0.556</v>
      </c>
      <c r="L232" s="11" t="n">
        <v>1</v>
      </c>
      <c r="M232" s="9" t="n">
        <v>1</v>
      </c>
      <c r="N232" s="11" t="n">
        <v>1</v>
      </c>
      <c r="O232" s="11" t="n">
        <v>1</v>
      </c>
      <c r="P232" s="12"/>
      <c r="Q232" s="12"/>
      <c r="R232" s="12"/>
      <c r="S232" s="12"/>
      <c r="T232" s="9" t="s">
        <v>647</v>
      </c>
      <c r="U232" s="9" t="s">
        <v>645</v>
      </c>
    </row>
    <row r="233" customFormat="false" ht="15" hidden="false" customHeight="false" outlineLevel="0" collapsed="false">
      <c r="A233" s="9"/>
      <c r="B233" s="9"/>
      <c r="C233" s="9"/>
      <c r="D233" s="9"/>
      <c r="E233" s="9"/>
      <c r="F233" s="9" t="s">
        <v>642</v>
      </c>
      <c r="G233" s="10" t="s">
        <v>648</v>
      </c>
      <c r="H233" s="9" t="s">
        <v>649</v>
      </c>
      <c r="I233" s="9" t="n">
        <v>7</v>
      </c>
      <c r="J233" s="9" t="n">
        <v>6</v>
      </c>
      <c r="K233" s="11" t="n">
        <v>0.002</v>
      </c>
      <c r="L233" s="11" t="n">
        <v>1</v>
      </c>
      <c r="M233" s="9" t="n">
        <v>1</v>
      </c>
      <c r="N233" s="11" t="n">
        <v>1</v>
      </c>
      <c r="O233" s="11" t="n">
        <v>0.9</v>
      </c>
      <c r="P233" s="12"/>
      <c r="Q233" s="12"/>
      <c r="R233" s="12"/>
      <c r="S233" s="12"/>
      <c r="T233" s="9" t="s">
        <v>647</v>
      </c>
      <c r="U233" s="9" t="s">
        <v>648</v>
      </c>
    </row>
    <row r="234" customFormat="false" ht="15" hidden="false" customHeight="false" outlineLevel="0" collapsed="false">
      <c r="A234" s="7" t="s">
        <v>43</v>
      </c>
      <c r="B234" s="7" t="s">
        <v>650</v>
      </c>
      <c r="C234" s="8" t="s">
        <v>651</v>
      </c>
      <c r="D234" s="7" t="s">
        <v>652</v>
      </c>
      <c r="E234" s="7" t="n">
        <v>2670</v>
      </c>
      <c r="F234" s="9" t="s">
        <v>650</v>
      </c>
      <c r="G234" s="10" t="s">
        <v>653</v>
      </c>
      <c r="H234" s="9"/>
      <c r="I234" s="9" t="n">
        <v>26</v>
      </c>
      <c r="J234" s="9" t="n">
        <v>262</v>
      </c>
      <c r="K234" s="11" t="n">
        <v>0.102</v>
      </c>
      <c r="L234" s="11" t="n">
        <v>1</v>
      </c>
      <c r="M234" s="9" t="n">
        <v>1</v>
      </c>
      <c r="N234" s="11" t="n">
        <v>0.882</v>
      </c>
      <c r="O234" s="11" t="n">
        <v>0.982</v>
      </c>
      <c r="P234" s="12"/>
      <c r="Q234" s="12"/>
      <c r="R234" s="12"/>
      <c r="S234" s="12"/>
      <c r="T234" s="9" t="s">
        <v>654</v>
      </c>
      <c r="U234" s="9" t="s">
        <v>653</v>
      </c>
    </row>
    <row r="235" customFormat="false" ht="15" hidden="false" customHeight="false" outlineLevel="0" collapsed="false">
      <c r="A235" s="9"/>
      <c r="B235" s="9"/>
      <c r="C235" s="9"/>
      <c r="D235" s="9"/>
      <c r="E235" s="9"/>
      <c r="F235" s="9" t="s">
        <v>655</v>
      </c>
      <c r="G235" s="10" t="s">
        <v>656</v>
      </c>
      <c r="H235" s="9"/>
      <c r="I235" s="9" t="n">
        <v>7</v>
      </c>
      <c r="J235" s="9" t="n">
        <v>280</v>
      </c>
      <c r="K235" s="11" t="n">
        <v>0.109</v>
      </c>
      <c r="L235" s="11" t="n">
        <v>1</v>
      </c>
      <c r="M235" s="9" t="n">
        <v>1</v>
      </c>
      <c r="N235" s="11" t="n">
        <v>0.769</v>
      </c>
      <c r="O235" s="11" t="n">
        <v>0.965</v>
      </c>
      <c r="P235" s="12"/>
      <c r="Q235" s="12"/>
      <c r="R235" s="12"/>
      <c r="S235" s="12"/>
      <c r="T235" s="9" t="s">
        <v>654</v>
      </c>
      <c r="U235" s="9" t="s">
        <v>656</v>
      </c>
    </row>
    <row r="236" customFormat="false" ht="15" hidden="false" customHeight="false" outlineLevel="0" collapsed="false">
      <c r="A236" s="9"/>
      <c r="B236" s="9"/>
      <c r="C236" s="9"/>
      <c r="D236" s="9"/>
      <c r="E236" s="9"/>
      <c r="F236" s="9" t="s">
        <v>657</v>
      </c>
      <c r="G236" s="10" t="s">
        <v>658</v>
      </c>
      <c r="H236" s="9" t="s">
        <v>571</v>
      </c>
      <c r="I236" s="9" t="n">
        <v>16</v>
      </c>
      <c r="J236" s="9" t="n">
        <v>125</v>
      </c>
      <c r="K236" s="11" t="n">
        <v>0.049</v>
      </c>
      <c r="L236" s="11" t="n">
        <v>1</v>
      </c>
      <c r="M236" s="9" t="n">
        <v>1</v>
      </c>
      <c r="N236" s="11" t="n">
        <v>0.214</v>
      </c>
      <c r="O236" s="11" t="n">
        <v>0.832</v>
      </c>
      <c r="P236" s="12"/>
      <c r="Q236" s="12"/>
      <c r="R236" s="12"/>
      <c r="S236" s="12"/>
      <c r="T236" s="9" t="s">
        <v>654</v>
      </c>
      <c r="U236" s="9" t="s">
        <v>658</v>
      </c>
    </row>
    <row r="237" customFormat="false" ht="15" hidden="false" customHeight="false" outlineLevel="0" collapsed="false">
      <c r="A237" s="9"/>
      <c r="B237" s="9"/>
      <c r="C237" s="9"/>
      <c r="D237" s="9"/>
      <c r="E237" s="9"/>
      <c r="F237" s="9" t="s">
        <v>659</v>
      </c>
      <c r="G237" s="10" t="s">
        <v>660</v>
      </c>
      <c r="H237" s="9"/>
      <c r="I237" s="9" t="n">
        <v>1</v>
      </c>
      <c r="J237" s="9" t="n">
        <v>300</v>
      </c>
      <c r="K237" s="11" t="n">
        <v>0.117</v>
      </c>
      <c r="L237" s="11" t="n">
        <v>1</v>
      </c>
      <c r="M237" s="9" t="n">
        <v>0</v>
      </c>
      <c r="N237" s="11" t="n">
        <v>1</v>
      </c>
      <c r="O237" s="11" t="n">
        <v>0.7</v>
      </c>
      <c r="P237" s="12"/>
      <c r="Q237" s="12"/>
      <c r="R237" s="12"/>
      <c r="S237" s="12"/>
      <c r="T237" s="9" t="s">
        <v>654</v>
      </c>
      <c r="U237" s="9" t="s">
        <v>660</v>
      </c>
    </row>
    <row r="238" customFormat="false" ht="15" hidden="false" customHeight="false" outlineLevel="0" collapsed="false">
      <c r="A238" s="9"/>
      <c r="B238" s="9"/>
      <c r="C238" s="9"/>
      <c r="D238" s="9"/>
      <c r="E238" s="9"/>
      <c r="F238" s="9" t="s">
        <v>661</v>
      </c>
      <c r="G238" s="10" t="s">
        <v>662</v>
      </c>
      <c r="H238" s="9"/>
      <c r="I238" s="9" t="n">
        <v>6</v>
      </c>
      <c r="J238" s="9" t="n">
        <v>75</v>
      </c>
      <c r="K238" s="11" t="n">
        <v>0.029</v>
      </c>
      <c r="L238" s="11" t="n">
        <v>1</v>
      </c>
      <c r="M238" s="9" t="n">
        <v>0</v>
      </c>
      <c r="N238" s="11" t="n">
        <v>1</v>
      </c>
      <c r="O238" s="11" t="n">
        <v>0.6</v>
      </c>
      <c r="P238" s="12"/>
      <c r="Q238" s="12"/>
      <c r="R238" s="12"/>
      <c r="S238" s="12"/>
      <c r="T238" s="9" t="s">
        <v>654</v>
      </c>
      <c r="U238" s="9" t="s">
        <v>662</v>
      </c>
    </row>
    <row r="239" customFormat="false" ht="15" hidden="false" customHeight="false" outlineLevel="0" collapsed="false">
      <c r="A239" s="7" t="s">
        <v>43</v>
      </c>
      <c r="B239" s="7" t="s">
        <v>663</v>
      </c>
      <c r="C239" s="8" t="s">
        <v>380</v>
      </c>
      <c r="D239" s="7" t="s">
        <v>664</v>
      </c>
      <c r="E239" s="7" t="n">
        <v>11266</v>
      </c>
      <c r="F239" s="9" t="s">
        <v>663</v>
      </c>
      <c r="G239" s="10" t="s">
        <v>665</v>
      </c>
      <c r="H239" s="9" t="s">
        <v>666</v>
      </c>
      <c r="I239" s="9" t="n">
        <v>152</v>
      </c>
      <c r="J239" s="9" t="n">
        <v>6978</v>
      </c>
      <c r="K239" s="11" t="n">
        <v>0.664</v>
      </c>
      <c r="L239" s="11" t="n">
        <v>1</v>
      </c>
      <c r="M239" s="9" t="n">
        <v>1</v>
      </c>
      <c r="N239" s="11" t="n">
        <v>0.898</v>
      </c>
      <c r="O239" s="11" t="n">
        <v>0.985</v>
      </c>
      <c r="P239" s="12"/>
      <c r="Q239" s="12"/>
      <c r="R239" s="12"/>
      <c r="S239" s="12"/>
      <c r="T239" s="9" t="s">
        <v>667</v>
      </c>
      <c r="U239" s="9" t="s">
        <v>665</v>
      </c>
    </row>
    <row r="240" customFormat="false" ht="15" hidden="false" customHeight="false" outlineLevel="0" collapsed="false">
      <c r="A240" s="9"/>
      <c r="B240" s="9"/>
      <c r="C240" s="9"/>
      <c r="D240" s="9"/>
      <c r="E240" s="9"/>
      <c r="F240" s="9" t="s">
        <v>663</v>
      </c>
      <c r="G240" s="10" t="s">
        <v>668</v>
      </c>
      <c r="H240" s="9"/>
      <c r="I240" s="9" t="n">
        <v>28</v>
      </c>
      <c r="J240" s="9" t="n">
        <v>454</v>
      </c>
      <c r="K240" s="11" t="n">
        <v>0.043</v>
      </c>
      <c r="L240" s="11" t="n">
        <v>1</v>
      </c>
      <c r="M240" s="9" t="n">
        <v>1</v>
      </c>
      <c r="N240" s="11" t="n">
        <v>1</v>
      </c>
      <c r="O240" s="11" t="n">
        <v>0.95</v>
      </c>
      <c r="P240" s="12"/>
      <c r="Q240" s="12"/>
      <c r="R240" s="12"/>
      <c r="S240" s="12"/>
      <c r="T240" s="9" t="s">
        <v>667</v>
      </c>
      <c r="U240" s="9" t="s">
        <v>668</v>
      </c>
    </row>
    <row r="241" customFormat="false" ht="15" hidden="false" customHeight="false" outlineLevel="0" collapsed="false">
      <c r="A241" s="9"/>
      <c r="B241" s="9"/>
      <c r="C241" s="9"/>
      <c r="D241" s="9"/>
      <c r="E241" s="9"/>
      <c r="F241" s="9" t="s">
        <v>663</v>
      </c>
      <c r="G241" s="10" t="s">
        <v>669</v>
      </c>
      <c r="H241" s="9" t="s">
        <v>380</v>
      </c>
      <c r="I241" s="9" t="n">
        <v>2</v>
      </c>
      <c r="J241" s="9" t="n">
        <v>58</v>
      </c>
      <c r="K241" s="11" t="n">
        <v>0.006</v>
      </c>
      <c r="L241" s="11" t="n">
        <v>1</v>
      </c>
      <c r="M241" s="9" t="n">
        <v>1</v>
      </c>
      <c r="N241" s="11" t="n">
        <v>1</v>
      </c>
      <c r="O241" s="11" t="n">
        <v>0.9</v>
      </c>
      <c r="P241" s="12"/>
      <c r="Q241" s="12"/>
      <c r="R241" s="12"/>
      <c r="S241" s="12"/>
      <c r="T241" s="9" t="s">
        <v>667</v>
      </c>
      <c r="U241" s="9" t="s">
        <v>669</v>
      </c>
    </row>
    <row r="242" customFormat="false" ht="15" hidden="false" customHeight="false" outlineLevel="0" collapsed="false">
      <c r="A242" s="9"/>
      <c r="B242" s="9"/>
      <c r="C242" s="9"/>
      <c r="D242" s="9"/>
      <c r="E242" s="9"/>
      <c r="F242" s="9" t="s">
        <v>663</v>
      </c>
      <c r="G242" s="10" t="s">
        <v>670</v>
      </c>
      <c r="H242" s="9" t="s">
        <v>380</v>
      </c>
      <c r="I242" s="9" t="n">
        <v>1</v>
      </c>
      <c r="J242" s="9" t="n">
        <v>0</v>
      </c>
      <c r="K242" s="11" t="n">
        <v>0</v>
      </c>
      <c r="L242" s="11" t="n">
        <v>1</v>
      </c>
      <c r="M242" s="9" t="n">
        <v>1</v>
      </c>
      <c r="N242" s="11" t="n">
        <v>1</v>
      </c>
      <c r="O242" s="11" t="n">
        <v>0.9</v>
      </c>
      <c r="P242" s="12"/>
      <c r="Q242" s="12"/>
      <c r="R242" s="12"/>
      <c r="S242" s="12"/>
      <c r="T242" s="9" t="s">
        <v>667</v>
      </c>
      <c r="U242" s="9" t="s">
        <v>670</v>
      </c>
    </row>
    <row r="243" customFormat="false" ht="15" hidden="false" customHeight="false" outlineLevel="0" collapsed="false">
      <c r="A243" s="9"/>
      <c r="B243" s="9"/>
      <c r="C243" s="9"/>
      <c r="D243" s="9"/>
      <c r="E243" s="9"/>
      <c r="F243" s="9" t="s">
        <v>663</v>
      </c>
      <c r="G243" s="10" t="s">
        <v>671</v>
      </c>
      <c r="H243" s="9" t="s">
        <v>380</v>
      </c>
      <c r="I243" s="9" t="n">
        <v>1</v>
      </c>
      <c r="J243" s="9" t="n">
        <v>0</v>
      </c>
      <c r="K243" s="11" t="n">
        <v>0</v>
      </c>
      <c r="L243" s="11" t="n">
        <v>1</v>
      </c>
      <c r="M243" s="9" t="n">
        <v>1</v>
      </c>
      <c r="N243" s="11" t="n">
        <v>1</v>
      </c>
      <c r="O243" s="11" t="n">
        <v>0.9</v>
      </c>
      <c r="P243" s="12"/>
      <c r="Q243" s="12"/>
      <c r="R243" s="12"/>
      <c r="S243" s="12"/>
      <c r="T243" s="9" t="s">
        <v>667</v>
      </c>
      <c r="U243" s="9" t="s">
        <v>671</v>
      </c>
    </row>
    <row r="244" customFormat="false" ht="15" hidden="false" customHeight="false" outlineLevel="0" collapsed="false">
      <c r="A244" s="7" t="s">
        <v>43</v>
      </c>
      <c r="B244" s="7" t="s">
        <v>672</v>
      </c>
      <c r="C244" s="8" t="s">
        <v>201</v>
      </c>
      <c r="D244" s="7" t="s">
        <v>673</v>
      </c>
      <c r="E244" s="7" t="n">
        <v>997</v>
      </c>
      <c r="F244" s="9" t="s">
        <v>672</v>
      </c>
      <c r="G244" s="10" t="s">
        <v>674</v>
      </c>
      <c r="H244" s="9" t="s">
        <v>675</v>
      </c>
      <c r="I244" s="9" t="n">
        <v>82</v>
      </c>
      <c r="J244" s="9" t="n">
        <v>914</v>
      </c>
      <c r="K244" s="11" t="n">
        <v>0.986</v>
      </c>
      <c r="L244" s="11" t="n">
        <v>1</v>
      </c>
      <c r="M244" s="9" t="n">
        <v>1</v>
      </c>
      <c r="N244" s="11" t="n">
        <v>0.88</v>
      </c>
      <c r="O244" s="11" t="n">
        <v>0.982</v>
      </c>
      <c r="P244" s="12"/>
      <c r="Q244" s="12"/>
      <c r="R244" s="12"/>
      <c r="S244" s="12"/>
      <c r="T244" s="9" t="s">
        <v>676</v>
      </c>
      <c r="U244" s="9" t="s">
        <v>674</v>
      </c>
    </row>
    <row r="245" customFormat="false" ht="15" hidden="false" customHeight="false" outlineLevel="0" collapsed="false">
      <c r="A245" s="9"/>
      <c r="B245" s="9"/>
      <c r="C245" s="9"/>
      <c r="D245" s="9"/>
      <c r="E245" s="9"/>
      <c r="F245" s="9" t="s">
        <v>672</v>
      </c>
      <c r="G245" s="10" t="s">
        <v>677</v>
      </c>
      <c r="H245" s="9" t="s">
        <v>201</v>
      </c>
      <c r="I245" s="9" t="n">
        <v>170</v>
      </c>
      <c r="J245" s="9" t="n">
        <v>1303</v>
      </c>
      <c r="K245" s="11" t="n">
        <v>1.406</v>
      </c>
      <c r="L245" s="11" t="n">
        <v>1</v>
      </c>
      <c r="M245" s="9" t="n">
        <v>1</v>
      </c>
      <c r="N245" s="11" t="n">
        <v>0.738</v>
      </c>
      <c r="O245" s="11" t="n">
        <v>0.961</v>
      </c>
      <c r="P245" s="12"/>
      <c r="Q245" s="12"/>
      <c r="R245" s="12"/>
      <c r="S245" s="12"/>
      <c r="T245" s="9" t="s">
        <v>676</v>
      </c>
      <c r="U245" s="9" t="s">
        <v>677</v>
      </c>
    </row>
    <row r="246" customFormat="false" ht="15" hidden="false" customHeight="false" outlineLevel="0" collapsed="false">
      <c r="A246" s="9"/>
      <c r="B246" s="9"/>
      <c r="C246" s="9"/>
      <c r="D246" s="9"/>
      <c r="E246" s="9"/>
      <c r="F246" s="9" t="s">
        <v>672</v>
      </c>
      <c r="G246" s="10" t="s">
        <v>678</v>
      </c>
      <c r="H246" s="9" t="s">
        <v>679</v>
      </c>
      <c r="I246" s="9" t="n">
        <v>4</v>
      </c>
      <c r="J246" s="9" t="n">
        <v>88</v>
      </c>
      <c r="K246" s="11" t="n">
        <v>0.095</v>
      </c>
      <c r="L246" s="11" t="n">
        <v>1</v>
      </c>
      <c r="M246" s="9" t="n">
        <v>0</v>
      </c>
      <c r="N246" s="11" t="n">
        <v>0.571</v>
      </c>
      <c r="O246" s="11" t="n">
        <v>0.586</v>
      </c>
      <c r="P246" s="12"/>
      <c r="Q246" s="12"/>
      <c r="R246" s="12"/>
      <c r="S246" s="12"/>
      <c r="T246" s="9" t="s">
        <v>676</v>
      </c>
      <c r="U246" s="9" t="s">
        <v>678</v>
      </c>
    </row>
    <row r="247" customFormat="false" ht="15" hidden="false" customHeight="false" outlineLevel="0" collapsed="false">
      <c r="A247" s="9"/>
      <c r="B247" s="9"/>
      <c r="C247" s="9"/>
      <c r="D247" s="9"/>
      <c r="E247" s="9"/>
      <c r="F247" s="9" t="s">
        <v>672</v>
      </c>
      <c r="G247" s="10" t="s">
        <v>680</v>
      </c>
      <c r="H247" s="9" t="s">
        <v>681</v>
      </c>
      <c r="I247" s="9" t="n">
        <v>2</v>
      </c>
      <c r="J247" s="9" t="n">
        <v>13</v>
      </c>
      <c r="K247" s="11" t="n">
        <v>0.014</v>
      </c>
      <c r="L247" s="11" t="n">
        <v>1</v>
      </c>
      <c r="M247" s="9" t="n">
        <v>0</v>
      </c>
      <c r="N247" s="11" t="n">
        <v>0.833</v>
      </c>
      <c r="O247" s="11" t="n">
        <v>0.575</v>
      </c>
      <c r="P247" s="12"/>
      <c r="Q247" s="12"/>
      <c r="R247" s="12"/>
      <c r="S247" s="12"/>
      <c r="T247" s="9" t="s">
        <v>676</v>
      </c>
      <c r="U247" s="9" t="s">
        <v>680</v>
      </c>
    </row>
    <row r="248" customFormat="false" ht="15" hidden="false" customHeight="false" outlineLevel="0" collapsed="false">
      <c r="A248" s="9"/>
      <c r="B248" s="9"/>
      <c r="C248" s="9"/>
      <c r="D248" s="9"/>
      <c r="E248" s="9"/>
      <c r="F248" s="9" t="s">
        <v>672</v>
      </c>
      <c r="G248" s="10" t="s">
        <v>682</v>
      </c>
      <c r="H248" s="9" t="s">
        <v>683</v>
      </c>
      <c r="I248" s="9" t="n">
        <v>80</v>
      </c>
      <c r="J248" s="9" t="n">
        <v>931</v>
      </c>
      <c r="K248" s="11" t="n">
        <v>1.004</v>
      </c>
      <c r="L248" s="11" t="n">
        <v>1</v>
      </c>
      <c r="M248" s="9" t="n">
        <v>0</v>
      </c>
      <c r="N248" s="11" t="n">
        <v>0.16</v>
      </c>
      <c r="O248" s="11" t="n">
        <v>0.574</v>
      </c>
      <c r="P248" s="12"/>
      <c r="Q248" s="12"/>
      <c r="R248" s="12"/>
      <c r="S248" s="12"/>
      <c r="T248" s="9" t="s">
        <v>676</v>
      </c>
      <c r="U248" s="9" t="s">
        <v>682</v>
      </c>
    </row>
    <row r="249" customFormat="false" ht="15" hidden="false" customHeight="false" outlineLevel="0" collapsed="false">
      <c r="A249" s="7" t="s">
        <v>43</v>
      </c>
      <c r="B249" s="7" t="s">
        <v>684</v>
      </c>
      <c r="C249" s="8" t="s">
        <v>132</v>
      </c>
      <c r="D249" s="7" t="s">
        <v>685</v>
      </c>
      <c r="E249" s="7" t="n">
        <v>868</v>
      </c>
      <c r="F249" s="9" t="s">
        <v>684</v>
      </c>
      <c r="G249" s="10" t="s">
        <v>686</v>
      </c>
      <c r="H249" s="9" t="s">
        <v>687</v>
      </c>
      <c r="I249" s="9" t="n">
        <v>45</v>
      </c>
      <c r="J249" s="9" t="n">
        <v>595</v>
      </c>
      <c r="K249" s="11" t="n">
        <v>0.766</v>
      </c>
      <c r="L249" s="11" t="n">
        <v>1</v>
      </c>
      <c r="M249" s="9" t="n">
        <v>1</v>
      </c>
      <c r="N249" s="11" t="n">
        <v>0.619</v>
      </c>
      <c r="O249" s="11" t="n">
        <v>0.943</v>
      </c>
      <c r="P249" s="12"/>
      <c r="Q249" s="12"/>
      <c r="R249" s="12"/>
      <c r="S249" s="12"/>
      <c r="T249" s="9" t="s">
        <v>688</v>
      </c>
      <c r="U249" s="9" t="s">
        <v>686</v>
      </c>
    </row>
    <row r="250" customFormat="false" ht="15" hidden="false" customHeight="false" outlineLevel="0" collapsed="false">
      <c r="A250" s="9"/>
      <c r="B250" s="9"/>
      <c r="C250" s="9"/>
      <c r="D250" s="9"/>
      <c r="E250" s="9"/>
      <c r="F250" s="9" t="s">
        <v>684</v>
      </c>
      <c r="G250" s="10" t="s">
        <v>689</v>
      </c>
      <c r="H250" s="9" t="s">
        <v>232</v>
      </c>
      <c r="I250" s="9" t="n">
        <v>1</v>
      </c>
      <c r="J250" s="9" t="n">
        <v>0</v>
      </c>
      <c r="K250" s="11" t="n">
        <v>0</v>
      </c>
      <c r="L250" s="11" t="n">
        <v>1</v>
      </c>
      <c r="M250" s="9" t="n">
        <v>1</v>
      </c>
      <c r="N250" s="11" t="n">
        <v>1</v>
      </c>
      <c r="O250" s="11" t="n">
        <v>0.9</v>
      </c>
      <c r="P250" s="12"/>
      <c r="Q250" s="12"/>
      <c r="R250" s="12"/>
      <c r="S250" s="12"/>
      <c r="T250" s="9" t="s">
        <v>688</v>
      </c>
      <c r="U250" s="9" t="s">
        <v>689</v>
      </c>
    </row>
    <row r="251" customFormat="false" ht="15" hidden="false" customHeight="false" outlineLevel="0" collapsed="false">
      <c r="A251" s="9"/>
      <c r="B251" s="9"/>
      <c r="C251" s="9"/>
      <c r="D251" s="9"/>
      <c r="E251" s="9"/>
      <c r="F251" s="9" t="s">
        <v>684</v>
      </c>
      <c r="G251" s="10" t="s">
        <v>690</v>
      </c>
      <c r="H251" s="9" t="s">
        <v>691</v>
      </c>
      <c r="I251" s="9" t="n">
        <v>38</v>
      </c>
      <c r="J251" s="9" t="n">
        <v>981</v>
      </c>
      <c r="K251" s="11" t="n">
        <v>1.263</v>
      </c>
      <c r="L251" s="11" t="n">
        <v>1</v>
      </c>
      <c r="M251" s="9" t="n">
        <v>1</v>
      </c>
      <c r="N251" s="11" t="n">
        <v>0</v>
      </c>
      <c r="O251" s="11" t="n">
        <v>0.85</v>
      </c>
      <c r="P251" s="12"/>
      <c r="Q251" s="12"/>
      <c r="R251" s="12"/>
      <c r="S251" s="12"/>
      <c r="T251" s="9" t="s">
        <v>688</v>
      </c>
      <c r="U251" s="9" t="s">
        <v>690</v>
      </c>
    </row>
    <row r="252" customFormat="false" ht="15" hidden="false" customHeight="false" outlineLevel="0" collapsed="false">
      <c r="A252" s="9"/>
      <c r="B252" s="9"/>
      <c r="C252" s="9"/>
      <c r="D252" s="9"/>
      <c r="E252" s="9"/>
      <c r="F252" s="9" t="s">
        <v>684</v>
      </c>
      <c r="G252" s="10" t="s">
        <v>692</v>
      </c>
      <c r="H252" s="9" t="s">
        <v>693</v>
      </c>
      <c r="I252" s="9" t="n">
        <v>9</v>
      </c>
      <c r="J252" s="9" t="n">
        <v>30</v>
      </c>
      <c r="K252" s="11" t="n">
        <v>0.039</v>
      </c>
      <c r="L252" s="11" t="n">
        <v>1</v>
      </c>
      <c r="M252" s="9" t="n">
        <v>1</v>
      </c>
      <c r="N252" s="11" t="n">
        <v>0</v>
      </c>
      <c r="O252" s="11" t="n">
        <v>0.8</v>
      </c>
      <c r="P252" s="12"/>
      <c r="Q252" s="12"/>
      <c r="R252" s="12"/>
      <c r="S252" s="12"/>
      <c r="T252" s="9" t="s">
        <v>688</v>
      </c>
      <c r="U252" s="9" t="s">
        <v>692</v>
      </c>
    </row>
    <row r="253" customFormat="false" ht="15" hidden="false" customHeight="false" outlineLevel="0" collapsed="false">
      <c r="A253" s="9"/>
      <c r="B253" s="9"/>
      <c r="C253" s="9"/>
      <c r="D253" s="9"/>
      <c r="E253" s="9"/>
      <c r="F253" s="9" t="s">
        <v>684</v>
      </c>
      <c r="G253" s="10" t="s">
        <v>694</v>
      </c>
      <c r="H253" s="9" t="s">
        <v>695</v>
      </c>
      <c r="I253" s="9" t="n">
        <v>10</v>
      </c>
      <c r="J253" s="9" t="n">
        <v>689</v>
      </c>
      <c r="K253" s="11" t="n">
        <v>0.887</v>
      </c>
      <c r="L253" s="11" t="n">
        <v>1</v>
      </c>
      <c r="M253" s="9" t="n">
        <v>0</v>
      </c>
      <c r="N253" s="11" t="n">
        <v>0.917</v>
      </c>
      <c r="O253" s="11" t="n">
        <v>0.688</v>
      </c>
      <c r="P253" s="12"/>
      <c r="Q253" s="12"/>
      <c r="R253" s="12"/>
      <c r="S253" s="12"/>
      <c r="T253" s="9" t="s">
        <v>688</v>
      </c>
      <c r="U253" s="9" t="s">
        <v>694</v>
      </c>
    </row>
    <row r="254" customFormat="false" ht="15" hidden="false" customHeight="false" outlineLevel="0" collapsed="false">
      <c r="A254" s="7" t="s">
        <v>43</v>
      </c>
      <c r="B254" s="7" t="s">
        <v>696</v>
      </c>
      <c r="C254" s="8" t="s">
        <v>45</v>
      </c>
      <c r="D254" s="7" t="s">
        <v>697</v>
      </c>
      <c r="E254" s="7" t="n">
        <v>133</v>
      </c>
      <c r="F254" s="9" t="s">
        <v>698</v>
      </c>
      <c r="G254" s="10" t="s">
        <v>699</v>
      </c>
      <c r="H254" s="9" t="s">
        <v>700</v>
      </c>
      <c r="I254" s="9" t="n">
        <v>25</v>
      </c>
      <c r="J254" s="9" t="n">
        <v>49</v>
      </c>
      <c r="K254" s="11" t="n">
        <v>0.458</v>
      </c>
      <c r="L254" s="11" t="n">
        <v>1</v>
      </c>
      <c r="M254" s="9" t="n">
        <v>1</v>
      </c>
      <c r="N254" s="11" t="n">
        <v>0.833</v>
      </c>
      <c r="O254" s="11" t="n">
        <v>0.975</v>
      </c>
      <c r="P254" s="12"/>
      <c r="Q254" s="12"/>
      <c r="R254" s="12"/>
      <c r="S254" s="12"/>
      <c r="T254" s="9" t="s">
        <v>701</v>
      </c>
      <c r="U254" s="9" t="s">
        <v>699</v>
      </c>
    </row>
    <row r="255" customFormat="false" ht="15" hidden="false" customHeight="false" outlineLevel="0" collapsed="false">
      <c r="A255" s="9"/>
      <c r="B255" s="9"/>
      <c r="C255" s="9"/>
      <c r="D255" s="9"/>
      <c r="E255" s="9"/>
      <c r="F255" s="9" t="s">
        <v>702</v>
      </c>
      <c r="G255" s="10" t="s">
        <v>703</v>
      </c>
      <c r="H255" s="9"/>
      <c r="I255" s="9" t="n">
        <v>8</v>
      </c>
      <c r="J255" s="9" t="n">
        <v>18</v>
      </c>
      <c r="K255" s="11" t="n">
        <v>0.168</v>
      </c>
      <c r="L255" s="11" t="n">
        <v>1</v>
      </c>
      <c r="M255" s="9" t="n">
        <v>0.5</v>
      </c>
      <c r="N255" s="11" t="n">
        <v>0.857</v>
      </c>
      <c r="O255" s="11" t="n">
        <v>0.829</v>
      </c>
      <c r="P255" s="12"/>
      <c r="Q255" s="12"/>
      <c r="R255" s="12"/>
      <c r="S255" s="12"/>
      <c r="T255" s="9" t="s">
        <v>701</v>
      </c>
      <c r="U255" s="9" t="s">
        <v>703</v>
      </c>
    </row>
    <row r="256" customFormat="false" ht="15" hidden="false" customHeight="false" outlineLevel="0" collapsed="false">
      <c r="A256" s="9"/>
      <c r="B256" s="9"/>
      <c r="C256" s="9"/>
      <c r="D256" s="9"/>
      <c r="E256" s="9"/>
      <c r="F256" s="9" t="s">
        <v>702</v>
      </c>
      <c r="G256" s="10" t="s">
        <v>704</v>
      </c>
      <c r="H256" s="9" t="s">
        <v>705</v>
      </c>
      <c r="I256" s="9" t="n">
        <v>4</v>
      </c>
      <c r="J256" s="9" t="n">
        <v>0</v>
      </c>
      <c r="K256" s="11" t="n">
        <v>0</v>
      </c>
      <c r="L256" s="11" t="n">
        <v>1</v>
      </c>
      <c r="M256" s="9" t="n">
        <v>0</v>
      </c>
      <c r="N256" s="11" t="n">
        <v>1</v>
      </c>
      <c r="O256" s="11" t="n">
        <v>0.6</v>
      </c>
      <c r="P256" s="12"/>
      <c r="Q256" s="12"/>
      <c r="R256" s="12"/>
      <c r="S256" s="12"/>
      <c r="T256" s="9" t="s">
        <v>701</v>
      </c>
      <c r="U256" s="9" t="s">
        <v>704</v>
      </c>
    </row>
    <row r="257" customFormat="false" ht="15" hidden="false" customHeight="false" outlineLevel="0" collapsed="false">
      <c r="A257" s="9"/>
      <c r="B257" s="9"/>
      <c r="C257" s="9"/>
      <c r="D257" s="9"/>
      <c r="E257" s="9"/>
      <c r="F257" s="9" t="s">
        <v>706</v>
      </c>
      <c r="G257" s="10" t="s">
        <v>707</v>
      </c>
      <c r="H257" s="9" t="s">
        <v>708</v>
      </c>
      <c r="I257" s="9" t="n">
        <v>26</v>
      </c>
      <c r="J257" s="9" t="n">
        <v>123</v>
      </c>
      <c r="K257" s="11" t="n">
        <v>1.15</v>
      </c>
      <c r="L257" s="11" t="n">
        <v>0.792</v>
      </c>
      <c r="M257" s="9" t="n">
        <v>0</v>
      </c>
      <c r="N257" s="11" t="n">
        <v>0.906</v>
      </c>
      <c r="O257" s="11" t="n">
        <v>0.592</v>
      </c>
      <c r="P257" s="12"/>
      <c r="Q257" s="12"/>
      <c r="R257" s="12"/>
      <c r="S257" s="12"/>
      <c r="T257" s="9" t="s">
        <v>701</v>
      </c>
      <c r="U257" s="9" t="s">
        <v>707</v>
      </c>
    </row>
    <row r="258" customFormat="false" ht="15" hidden="false" customHeight="false" outlineLevel="0" collapsed="false">
      <c r="A258" s="9"/>
      <c r="B258" s="9"/>
      <c r="C258" s="9"/>
      <c r="D258" s="9"/>
      <c r="E258" s="9"/>
      <c r="F258" s="9" t="s">
        <v>702</v>
      </c>
      <c r="G258" s="10" t="s">
        <v>709</v>
      </c>
      <c r="H258" s="9"/>
      <c r="I258" s="9" t="n">
        <v>3</v>
      </c>
      <c r="J258" s="9" t="n">
        <v>7</v>
      </c>
      <c r="K258" s="11" t="n">
        <v>0.065</v>
      </c>
      <c r="L258" s="11" t="n">
        <v>1</v>
      </c>
      <c r="M258" s="9" t="n">
        <v>0</v>
      </c>
      <c r="N258" s="11" t="n">
        <v>0.375</v>
      </c>
      <c r="O258" s="11" t="n">
        <v>0.556</v>
      </c>
      <c r="P258" s="12"/>
      <c r="Q258" s="12"/>
      <c r="R258" s="12"/>
      <c r="S258" s="12"/>
      <c r="T258" s="9" t="s">
        <v>701</v>
      </c>
      <c r="U258" s="9" t="s">
        <v>709</v>
      </c>
    </row>
    <row r="259" customFormat="false" ht="15" hidden="false" customHeight="false" outlineLevel="0" collapsed="false">
      <c r="A259" s="7" t="s">
        <v>43</v>
      </c>
      <c r="B259" s="7" t="s">
        <v>710</v>
      </c>
      <c r="C259" s="8" t="s">
        <v>578</v>
      </c>
      <c r="D259" s="7" t="s">
        <v>711</v>
      </c>
      <c r="E259" s="7" t="n">
        <v>2277</v>
      </c>
      <c r="F259" s="9" t="s">
        <v>710</v>
      </c>
      <c r="G259" s="10" t="s">
        <v>712</v>
      </c>
      <c r="H259" s="9" t="s">
        <v>713</v>
      </c>
      <c r="I259" s="9" t="n">
        <v>34</v>
      </c>
      <c r="J259" s="9" t="n">
        <v>1310</v>
      </c>
      <c r="K259" s="11" t="n">
        <v>0.615</v>
      </c>
      <c r="L259" s="11" t="n">
        <v>1</v>
      </c>
      <c r="M259" s="9" t="n">
        <v>1</v>
      </c>
      <c r="N259" s="11" t="n">
        <v>1</v>
      </c>
      <c r="O259" s="11" t="n">
        <v>1</v>
      </c>
      <c r="P259" s="12"/>
      <c r="Q259" s="12"/>
      <c r="R259" s="12"/>
      <c r="S259" s="12"/>
      <c r="T259" s="9" t="s">
        <v>714</v>
      </c>
      <c r="U259" s="9" t="s">
        <v>712</v>
      </c>
    </row>
    <row r="260" customFormat="false" ht="15" hidden="false" customHeight="false" outlineLevel="0" collapsed="false">
      <c r="A260" s="9"/>
      <c r="B260" s="9"/>
      <c r="C260" s="9"/>
      <c r="D260" s="9"/>
      <c r="E260" s="9"/>
      <c r="F260" s="9" t="s">
        <v>715</v>
      </c>
      <c r="G260" s="10" t="s">
        <v>716</v>
      </c>
      <c r="H260" s="9" t="s">
        <v>578</v>
      </c>
      <c r="I260" s="9" t="n">
        <v>5</v>
      </c>
      <c r="J260" s="9" t="n">
        <v>236</v>
      </c>
      <c r="K260" s="11" t="n">
        <v>0.111</v>
      </c>
      <c r="L260" s="11" t="n">
        <v>0.811</v>
      </c>
      <c r="M260" s="9" t="n">
        <v>1</v>
      </c>
      <c r="N260" s="11" t="n">
        <v>0.889</v>
      </c>
      <c r="O260" s="11" t="n">
        <v>0.898</v>
      </c>
      <c r="P260" s="12"/>
      <c r="Q260" s="12"/>
      <c r="R260" s="12"/>
      <c r="S260" s="12"/>
      <c r="T260" s="9" t="s">
        <v>714</v>
      </c>
      <c r="U260" s="9" t="s">
        <v>716</v>
      </c>
    </row>
    <row r="261" customFormat="false" ht="15" hidden="false" customHeight="false" outlineLevel="0" collapsed="false">
      <c r="A261" s="7" t="s">
        <v>43</v>
      </c>
      <c r="B261" s="7" t="s">
        <v>717</v>
      </c>
      <c r="C261" s="8" t="s">
        <v>101</v>
      </c>
      <c r="D261" s="7" t="s">
        <v>718</v>
      </c>
      <c r="E261" s="7" t="n">
        <v>1543</v>
      </c>
      <c r="F261" s="9" t="s">
        <v>717</v>
      </c>
      <c r="G261" s="10" t="s">
        <v>719</v>
      </c>
      <c r="H261" s="9" t="s">
        <v>110</v>
      </c>
      <c r="I261" s="9" t="n">
        <v>101</v>
      </c>
      <c r="J261" s="9" t="n">
        <v>655</v>
      </c>
      <c r="K261" s="11" t="n">
        <v>0.44</v>
      </c>
      <c r="L261" s="11" t="n">
        <v>1</v>
      </c>
      <c r="M261" s="9" t="n">
        <v>1</v>
      </c>
      <c r="N261" s="11" t="n">
        <v>1</v>
      </c>
      <c r="O261" s="11" t="n">
        <v>1</v>
      </c>
      <c r="P261" s="12"/>
      <c r="Q261" s="12"/>
      <c r="R261" s="12"/>
      <c r="S261" s="12"/>
      <c r="T261" s="9" t="s">
        <v>720</v>
      </c>
      <c r="U261" s="9" t="s">
        <v>719</v>
      </c>
    </row>
    <row r="262" customFormat="false" ht="15" hidden="false" customHeight="false" outlineLevel="0" collapsed="false">
      <c r="A262" s="9"/>
      <c r="B262" s="9"/>
      <c r="C262" s="9"/>
      <c r="D262" s="9"/>
      <c r="E262" s="9"/>
      <c r="F262" s="9" t="s">
        <v>717</v>
      </c>
      <c r="G262" s="10" t="s">
        <v>721</v>
      </c>
      <c r="H262" s="9" t="s">
        <v>110</v>
      </c>
      <c r="I262" s="9" t="n">
        <v>6</v>
      </c>
      <c r="J262" s="9" t="n">
        <v>7</v>
      </c>
      <c r="K262" s="11" t="n">
        <v>0.005</v>
      </c>
      <c r="L262" s="11" t="n">
        <v>1</v>
      </c>
      <c r="M262" s="9" t="n">
        <v>1</v>
      </c>
      <c r="N262" s="11" t="n">
        <v>0.9</v>
      </c>
      <c r="O262" s="11" t="n">
        <v>0.885</v>
      </c>
      <c r="P262" s="12"/>
      <c r="Q262" s="12"/>
      <c r="R262" s="12"/>
      <c r="S262" s="12"/>
      <c r="T262" s="9" t="s">
        <v>720</v>
      </c>
      <c r="U262" s="9" t="s">
        <v>721</v>
      </c>
    </row>
    <row r="263" customFormat="false" ht="15" hidden="false" customHeight="false" outlineLevel="0" collapsed="false">
      <c r="A263" s="9"/>
      <c r="B263" s="9"/>
      <c r="C263" s="9"/>
      <c r="D263" s="9"/>
      <c r="E263" s="9"/>
      <c r="F263" s="9" t="s">
        <v>722</v>
      </c>
      <c r="G263" s="10" t="s">
        <v>723</v>
      </c>
      <c r="H263" s="9" t="s">
        <v>724</v>
      </c>
      <c r="I263" s="9" t="n">
        <v>22</v>
      </c>
      <c r="J263" s="9" t="n">
        <v>116</v>
      </c>
      <c r="K263" s="11" t="n">
        <v>0.078</v>
      </c>
      <c r="L263" s="11" t="n">
        <v>1</v>
      </c>
      <c r="M263" s="9" t="n">
        <v>1</v>
      </c>
      <c r="N263" s="11" t="n">
        <v>0.167</v>
      </c>
      <c r="O263" s="11" t="n">
        <v>0.825</v>
      </c>
      <c r="P263" s="12"/>
      <c r="Q263" s="12"/>
      <c r="R263" s="12"/>
      <c r="S263" s="12"/>
      <c r="T263" s="9" t="s">
        <v>720</v>
      </c>
      <c r="U263" s="9" t="s">
        <v>723</v>
      </c>
    </row>
    <row r="264" customFormat="false" ht="15" hidden="false" customHeight="false" outlineLevel="0" collapsed="false">
      <c r="A264" s="9"/>
      <c r="B264" s="9"/>
      <c r="C264" s="9"/>
      <c r="D264" s="9"/>
      <c r="E264" s="9"/>
      <c r="F264" s="9" t="s">
        <v>725</v>
      </c>
      <c r="G264" s="10" t="s">
        <v>726</v>
      </c>
      <c r="H264" s="9" t="s">
        <v>727</v>
      </c>
      <c r="I264" s="9" t="n">
        <v>12</v>
      </c>
      <c r="J264" s="9" t="n">
        <v>362</v>
      </c>
      <c r="K264" s="11" t="n">
        <v>0.243</v>
      </c>
      <c r="L264" s="11" t="n">
        <v>1</v>
      </c>
      <c r="M264" s="9" t="n">
        <v>0</v>
      </c>
      <c r="N264" s="11" t="n">
        <v>1</v>
      </c>
      <c r="O264" s="11" t="n">
        <v>0.7</v>
      </c>
      <c r="P264" s="12"/>
      <c r="Q264" s="12"/>
      <c r="R264" s="12"/>
      <c r="S264" s="12"/>
      <c r="T264" s="9" t="s">
        <v>720</v>
      </c>
      <c r="U264" s="9" t="s">
        <v>726</v>
      </c>
    </row>
    <row r="265" customFormat="false" ht="15" hidden="false" customHeight="false" outlineLevel="0" collapsed="false">
      <c r="A265" s="9"/>
      <c r="B265" s="9"/>
      <c r="C265" s="9"/>
      <c r="D265" s="9"/>
      <c r="E265" s="9"/>
      <c r="F265" s="9" t="s">
        <v>717</v>
      </c>
      <c r="G265" s="10" t="s">
        <v>728</v>
      </c>
      <c r="H265" s="9" t="s">
        <v>729</v>
      </c>
      <c r="I265" s="9" t="n">
        <v>57</v>
      </c>
      <c r="J265" s="9" t="n">
        <v>756</v>
      </c>
      <c r="K265" s="11" t="n">
        <v>0.508</v>
      </c>
      <c r="L265" s="11" t="n">
        <v>1</v>
      </c>
      <c r="M265" s="9" t="n">
        <v>0</v>
      </c>
      <c r="N265" s="11" t="n">
        <v>0.81</v>
      </c>
      <c r="O265" s="11" t="n">
        <v>0.671</v>
      </c>
      <c r="P265" s="12"/>
      <c r="Q265" s="12"/>
      <c r="R265" s="12"/>
      <c r="S265" s="12"/>
      <c r="T265" s="9" t="s">
        <v>720</v>
      </c>
      <c r="U265" s="9" t="s">
        <v>728</v>
      </c>
    </row>
    <row r="266" customFormat="false" ht="15" hidden="false" customHeight="false" outlineLevel="0" collapsed="false">
      <c r="A266" s="7" t="s">
        <v>43</v>
      </c>
      <c r="B266" s="7" t="s">
        <v>730</v>
      </c>
      <c r="C266" s="8" t="s">
        <v>731</v>
      </c>
      <c r="D266" s="7" t="s">
        <v>732</v>
      </c>
      <c r="E266" s="7" t="n">
        <v>708</v>
      </c>
      <c r="F266" s="9" t="s">
        <v>733</v>
      </c>
      <c r="G266" s="10" t="s">
        <v>734</v>
      </c>
      <c r="H266" s="9" t="s">
        <v>731</v>
      </c>
      <c r="I266" s="9" t="n">
        <v>7</v>
      </c>
      <c r="J266" s="9" t="n">
        <v>128</v>
      </c>
      <c r="K266" s="11" t="n">
        <v>0.181</v>
      </c>
      <c r="L266" s="11" t="n">
        <v>1</v>
      </c>
      <c r="M266" s="9" t="n">
        <v>1</v>
      </c>
      <c r="N266" s="11" t="n">
        <v>1</v>
      </c>
      <c r="O266" s="11" t="n">
        <v>1</v>
      </c>
      <c r="P266" s="12"/>
      <c r="Q266" s="12"/>
      <c r="R266" s="12"/>
      <c r="S266" s="12"/>
      <c r="T266" s="9" t="s">
        <v>735</v>
      </c>
      <c r="U266" s="9" t="s">
        <v>734</v>
      </c>
    </row>
    <row r="267" customFormat="false" ht="15" hidden="false" customHeight="false" outlineLevel="0" collapsed="false">
      <c r="A267" s="9"/>
      <c r="B267" s="9"/>
      <c r="C267" s="9"/>
      <c r="D267" s="9"/>
      <c r="E267" s="9"/>
      <c r="F267" s="9" t="s">
        <v>730</v>
      </c>
      <c r="G267" s="10" t="s">
        <v>736</v>
      </c>
      <c r="H267" s="9" t="s">
        <v>731</v>
      </c>
      <c r="I267" s="9" t="n">
        <v>19</v>
      </c>
      <c r="J267" s="9" t="n">
        <v>339</v>
      </c>
      <c r="K267" s="11" t="n">
        <v>0.479</v>
      </c>
      <c r="L267" s="11" t="n">
        <v>1</v>
      </c>
      <c r="M267" s="9" t="n">
        <v>1</v>
      </c>
      <c r="N267" s="11" t="n">
        <v>0.889</v>
      </c>
      <c r="O267" s="11" t="n">
        <v>0.983</v>
      </c>
      <c r="P267" s="12"/>
      <c r="Q267" s="12"/>
      <c r="R267" s="12"/>
      <c r="S267" s="12"/>
      <c r="T267" s="9" t="s">
        <v>735</v>
      </c>
      <c r="U267" s="9" t="s">
        <v>736</v>
      </c>
    </row>
    <row r="268" customFormat="false" ht="15" hidden="false" customHeight="false" outlineLevel="0" collapsed="false">
      <c r="A268" s="9"/>
      <c r="B268" s="9"/>
      <c r="C268" s="9"/>
      <c r="D268" s="9"/>
      <c r="E268" s="9"/>
      <c r="F268" s="9" t="s">
        <v>730</v>
      </c>
      <c r="G268" s="10" t="s">
        <v>737</v>
      </c>
      <c r="H268" s="9"/>
      <c r="I268" s="9" t="n">
        <v>3</v>
      </c>
      <c r="J268" s="9" t="n">
        <v>31</v>
      </c>
      <c r="K268" s="11" t="n">
        <v>0.044</v>
      </c>
      <c r="L268" s="11" t="n">
        <v>1</v>
      </c>
      <c r="M268" s="9" t="n">
        <v>0</v>
      </c>
      <c r="N268" s="11" t="n">
        <v>1</v>
      </c>
      <c r="O268" s="11" t="n">
        <v>0.65</v>
      </c>
      <c r="P268" s="12"/>
      <c r="Q268" s="12"/>
      <c r="R268" s="12"/>
      <c r="S268" s="12"/>
      <c r="T268" s="9" t="s">
        <v>735</v>
      </c>
      <c r="U268" s="9" t="s">
        <v>737</v>
      </c>
    </row>
    <row r="269" customFormat="false" ht="15" hidden="false" customHeight="false" outlineLevel="0" collapsed="false">
      <c r="A269" s="9"/>
      <c r="B269" s="9"/>
      <c r="C269" s="9"/>
      <c r="D269" s="9"/>
      <c r="E269" s="9"/>
      <c r="F269" s="9" t="s">
        <v>738</v>
      </c>
      <c r="G269" s="10" t="s">
        <v>739</v>
      </c>
      <c r="H269" s="9" t="s">
        <v>740</v>
      </c>
      <c r="I269" s="9" t="n">
        <v>1</v>
      </c>
      <c r="J269" s="9" t="n">
        <v>4</v>
      </c>
      <c r="K269" s="11" t="n">
        <v>0.006</v>
      </c>
      <c r="L269" s="11" t="n">
        <v>1</v>
      </c>
      <c r="M269" s="9" t="n">
        <v>0</v>
      </c>
      <c r="N269" s="11" t="n">
        <v>1</v>
      </c>
      <c r="O269" s="11" t="n">
        <v>0.6</v>
      </c>
      <c r="P269" s="12"/>
      <c r="Q269" s="12"/>
      <c r="R269" s="12"/>
      <c r="S269" s="12"/>
      <c r="T269" s="9" t="s">
        <v>735</v>
      </c>
      <c r="U269" s="9" t="s">
        <v>739</v>
      </c>
    </row>
    <row r="270" customFormat="false" ht="15" hidden="false" customHeight="false" outlineLevel="0" collapsed="false">
      <c r="A270" s="9"/>
      <c r="B270" s="9"/>
      <c r="C270" s="9"/>
      <c r="D270" s="9"/>
      <c r="E270" s="9"/>
      <c r="F270" s="9" t="s">
        <v>741</v>
      </c>
      <c r="G270" s="10" t="s">
        <v>742</v>
      </c>
      <c r="H270" s="9"/>
      <c r="I270" s="9" t="n">
        <v>1</v>
      </c>
      <c r="J270" s="9" t="n">
        <v>0</v>
      </c>
      <c r="K270" s="11" t="n">
        <v>0</v>
      </c>
      <c r="L270" s="11" t="n">
        <v>1</v>
      </c>
      <c r="M270" s="9" t="n">
        <v>0</v>
      </c>
      <c r="N270" s="11" t="n">
        <v>1</v>
      </c>
      <c r="O270" s="11" t="n">
        <v>0.6</v>
      </c>
      <c r="P270" s="12"/>
      <c r="Q270" s="12"/>
      <c r="R270" s="12"/>
      <c r="S270" s="12"/>
      <c r="T270" s="9" t="s">
        <v>735</v>
      </c>
      <c r="U270" s="9" t="s">
        <v>742</v>
      </c>
    </row>
    <row r="271" customFormat="false" ht="15" hidden="false" customHeight="false" outlineLevel="0" collapsed="false">
      <c r="A271" s="7" t="s">
        <v>43</v>
      </c>
      <c r="B271" s="7" t="s">
        <v>743</v>
      </c>
      <c r="C271" s="8" t="s">
        <v>744</v>
      </c>
      <c r="D271" s="7" t="s">
        <v>745</v>
      </c>
      <c r="E271" s="7" t="n">
        <v>8368</v>
      </c>
      <c r="F271" s="9" t="s">
        <v>746</v>
      </c>
      <c r="G271" s="10" t="s">
        <v>747</v>
      </c>
      <c r="H271" s="9" t="s">
        <v>748</v>
      </c>
      <c r="I271" s="9" t="n">
        <v>157</v>
      </c>
      <c r="J271" s="9" t="n">
        <v>4412</v>
      </c>
      <c r="K271" s="11" t="n">
        <v>0.527</v>
      </c>
      <c r="L271" s="11" t="n">
        <v>1</v>
      </c>
      <c r="M271" s="9" t="n">
        <v>1</v>
      </c>
      <c r="N271" s="11" t="n">
        <v>0.877</v>
      </c>
      <c r="O271" s="11" t="n">
        <v>0.982</v>
      </c>
      <c r="P271" s="12"/>
      <c r="Q271" s="12"/>
      <c r="R271" s="12"/>
      <c r="S271" s="12"/>
      <c r="T271" s="9" t="s">
        <v>749</v>
      </c>
      <c r="U271" s="9" t="s">
        <v>747</v>
      </c>
    </row>
    <row r="272" customFormat="false" ht="15" hidden="false" customHeight="false" outlineLevel="0" collapsed="false">
      <c r="A272" s="9"/>
      <c r="B272" s="9"/>
      <c r="C272" s="9"/>
      <c r="D272" s="9"/>
      <c r="E272" s="9"/>
      <c r="F272" s="9" t="s">
        <v>743</v>
      </c>
      <c r="G272" s="10" t="s">
        <v>750</v>
      </c>
      <c r="H272" s="9"/>
      <c r="I272" s="9" t="n">
        <v>10</v>
      </c>
      <c r="J272" s="9" t="n">
        <v>17</v>
      </c>
      <c r="K272" s="11" t="n">
        <v>0.002</v>
      </c>
      <c r="L272" s="11" t="n">
        <v>1</v>
      </c>
      <c r="M272" s="9" t="n">
        <v>1</v>
      </c>
      <c r="N272" s="11" t="n">
        <v>0.9</v>
      </c>
      <c r="O272" s="11" t="n">
        <v>0.885</v>
      </c>
      <c r="P272" s="12"/>
      <c r="Q272" s="12"/>
      <c r="R272" s="12"/>
      <c r="S272" s="12"/>
      <c r="T272" s="9" t="s">
        <v>749</v>
      </c>
      <c r="U272" s="9" t="s">
        <v>750</v>
      </c>
    </row>
    <row r="273" customFormat="false" ht="15" hidden="false" customHeight="false" outlineLevel="0" collapsed="false">
      <c r="A273" s="9"/>
      <c r="B273" s="9"/>
      <c r="C273" s="9"/>
      <c r="D273" s="9"/>
      <c r="E273" s="9"/>
      <c r="F273" s="9" t="s">
        <v>743</v>
      </c>
      <c r="G273" s="10" t="s">
        <v>751</v>
      </c>
      <c r="H273" s="9"/>
      <c r="I273" s="9" t="n">
        <v>1</v>
      </c>
      <c r="J273" s="9" t="n">
        <v>19</v>
      </c>
      <c r="K273" s="11" t="n">
        <v>0.002</v>
      </c>
      <c r="L273" s="11" t="n">
        <v>1</v>
      </c>
      <c r="M273" s="9" t="n">
        <v>0</v>
      </c>
      <c r="N273" s="11" t="n">
        <v>1</v>
      </c>
      <c r="O273" s="11" t="n">
        <v>0.6</v>
      </c>
      <c r="P273" s="12"/>
      <c r="Q273" s="12"/>
      <c r="R273" s="12"/>
      <c r="S273" s="12"/>
      <c r="T273" s="9" t="s">
        <v>749</v>
      </c>
      <c r="U273" s="9" t="s">
        <v>751</v>
      </c>
    </row>
    <row r="274" customFormat="false" ht="15" hidden="false" customHeight="false" outlineLevel="0" collapsed="false">
      <c r="A274" s="9"/>
      <c r="B274" s="9"/>
      <c r="C274" s="9"/>
      <c r="D274" s="9"/>
      <c r="E274" s="9"/>
      <c r="F274" s="9" t="s">
        <v>752</v>
      </c>
      <c r="G274" s="10" t="s">
        <v>753</v>
      </c>
      <c r="H274" s="9" t="s">
        <v>754</v>
      </c>
      <c r="I274" s="9" t="n">
        <v>7</v>
      </c>
      <c r="J274" s="9" t="n">
        <v>124</v>
      </c>
      <c r="K274" s="11" t="n">
        <v>0.015</v>
      </c>
      <c r="L274" s="11" t="n">
        <v>1</v>
      </c>
      <c r="M274" s="9" t="n">
        <v>0</v>
      </c>
      <c r="N274" s="11" t="n">
        <v>0.929</v>
      </c>
      <c r="O274" s="11" t="n">
        <v>0.589</v>
      </c>
      <c r="P274" s="12"/>
      <c r="Q274" s="12"/>
      <c r="R274" s="12"/>
      <c r="S274" s="12"/>
      <c r="T274" s="9" t="s">
        <v>749</v>
      </c>
      <c r="U274" s="9" t="s">
        <v>753</v>
      </c>
    </row>
    <row r="275" customFormat="false" ht="15" hidden="false" customHeight="false" outlineLevel="0" collapsed="false">
      <c r="A275" s="9"/>
      <c r="B275" s="9"/>
      <c r="C275" s="9"/>
      <c r="D275" s="9"/>
      <c r="E275" s="9"/>
      <c r="F275" s="9" t="s">
        <v>755</v>
      </c>
      <c r="G275" s="10" t="s">
        <v>756</v>
      </c>
      <c r="H275" s="9" t="s">
        <v>757</v>
      </c>
      <c r="I275" s="9" t="n">
        <v>36</v>
      </c>
      <c r="J275" s="9" t="n">
        <v>91</v>
      </c>
      <c r="K275" s="11" t="n">
        <v>0.011</v>
      </c>
      <c r="L275" s="11" t="n">
        <v>1</v>
      </c>
      <c r="M275" s="9" t="n">
        <v>0</v>
      </c>
      <c r="N275" s="11" t="n">
        <v>0.875</v>
      </c>
      <c r="O275" s="11" t="n">
        <v>0.581</v>
      </c>
      <c r="P275" s="12"/>
      <c r="Q275" s="12"/>
      <c r="R275" s="12"/>
      <c r="S275" s="12"/>
      <c r="T275" s="9" t="s">
        <v>749</v>
      </c>
      <c r="U275" s="9" t="s">
        <v>756</v>
      </c>
    </row>
    <row r="276" customFormat="false" ht="15" hidden="false" customHeight="false" outlineLevel="0" collapsed="false">
      <c r="A276" s="7" t="s">
        <v>43</v>
      </c>
      <c r="B276" s="7" t="s">
        <v>758</v>
      </c>
      <c r="C276" s="8" t="s">
        <v>81</v>
      </c>
      <c r="D276" s="7" t="s">
        <v>759</v>
      </c>
      <c r="E276" s="7" t="n">
        <v>4638</v>
      </c>
      <c r="F276" s="9" t="s">
        <v>760</v>
      </c>
      <c r="G276" s="10" t="s">
        <v>761</v>
      </c>
      <c r="H276" s="9" t="s">
        <v>81</v>
      </c>
      <c r="I276" s="9" t="n">
        <v>101</v>
      </c>
      <c r="J276" s="9" t="n">
        <v>2619</v>
      </c>
      <c r="K276" s="11" t="n">
        <v>0.625</v>
      </c>
      <c r="L276" s="11" t="n">
        <v>1</v>
      </c>
      <c r="M276" s="9" t="n">
        <v>1</v>
      </c>
      <c r="N276" s="11" t="n">
        <v>0.834</v>
      </c>
      <c r="O276" s="11" t="n">
        <v>0.975</v>
      </c>
      <c r="P276" s="12"/>
      <c r="Q276" s="12"/>
      <c r="R276" s="12"/>
      <c r="S276" s="12"/>
      <c r="T276" s="9" t="s">
        <v>762</v>
      </c>
      <c r="U276" s="9" t="s">
        <v>761</v>
      </c>
    </row>
    <row r="277" customFormat="false" ht="15" hidden="false" customHeight="false" outlineLevel="0" collapsed="false">
      <c r="A277" s="9"/>
      <c r="B277" s="9"/>
      <c r="C277" s="9"/>
      <c r="D277" s="9"/>
      <c r="E277" s="9"/>
      <c r="F277" s="9" t="s">
        <v>763</v>
      </c>
      <c r="G277" s="10" t="s">
        <v>764</v>
      </c>
      <c r="H277" s="9" t="s">
        <v>765</v>
      </c>
      <c r="I277" s="9" t="n">
        <v>131</v>
      </c>
      <c r="J277" s="9" t="n">
        <v>1737</v>
      </c>
      <c r="K277" s="11" t="n">
        <v>0.414</v>
      </c>
      <c r="L277" s="11" t="n">
        <v>1</v>
      </c>
      <c r="M277" s="9" t="n">
        <v>1</v>
      </c>
      <c r="N277" s="11" t="n">
        <v>0.659</v>
      </c>
      <c r="O277" s="11" t="n">
        <v>0.949</v>
      </c>
      <c r="P277" s="12"/>
      <c r="Q277" s="12"/>
      <c r="R277" s="12"/>
      <c r="S277" s="12"/>
      <c r="T277" s="9" t="s">
        <v>762</v>
      </c>
      <c r="U277" s="9" t="s">
        <v>764</v>
      </c>
    </row>
    <row r="278" customFormat="false" ht="15" hidden="false" customHeight="false" outlineLevel="0" collapsed="false">
      <c r="A278" s="9"/>
      <c r="B278" s="9"/>
      <c r="C278" s="9"/>
      <c r="D278" s="9"/>
      <c r="E278" s="9"/>
      <c r="F278" s="9" t="s">
        <v>758</v>
      </c>
      <c r="G278" s="10" t="s">
        <v>766</v>
      </c>
      <c r="H278" s="9" t="s">
        <v>767</v>
      </c>
      <c r="I278" s="9" t="n">
        <v>4</v>
      </c>
      <c r="J278" s="9" t="n">
        <v>0</v>
      </c>
      <c r="K278" s="11" t="n">
        <v>0</v>
      </c>
      <c r="L278" s="11" t="n">
        <v>1</v>
      </c>
      <c r="M278" s="9" t="n">
        <v>1</v>
      </c>
      <c r="N278" s="11" t="n">
        <v>0.714</v>
      </c>
      <c r="O278" s="11" t="n">
        <v>0.857</v>
      </c>
      <c r="P278" s="12"/>
      <c r="Q278" s="12"/>
      <c r="R278" s="12"/>
      <c r="S278" s="12"/>
      <c r="T278" s="9" t="s">
        <v>762</v>
      </c>
      <c r="U278" s="9" t="s">
        <v>766</v>
      </c>
    </row>
    <row r="279" customFormat="false" ht="15" hidden="false" customHeight="false" outlineLevel="0" collapsed="false">
      <c r="A279" s="9"/>
      <c r="B279" s="9"/>
      <c r="C279" s="9"/>
      <c r="D279" s="9"/>
      <c r="E279" s="9"/>
      <c r="F279" s="9" t="s">
        <v>768</v>
      </c>
      <c r="G279" s="10" t="s">
        <v>769</v>
      </c>
      <c r="H279" s="9"/>
      <c r="I279" s="9" t="n">
        <v>1</v>
      </c>
      <c r="J279" s="9" t="n">
        <v>4</v>
      </c>
      <c r="K279" s="11" t="n">
        <v>0.001</v>
      </c>
      <c r="L279" s="11" t="n">
        <v>1</v>
      </c>
      <c r="M279" s="9" t="n">
        <v>0</v>
      </c>
      <c r="N279" s="11" t="n">
        <v>1</v>
      </c>
      <c r="O279" s="11" t="n">
        <v>0.6</v>
      </c>
      <c r="P279" s="12"/>
      <c r="Q279" s="12"/>
      <c r="R279" s="12"/>
      <c r="S279" s="12"/>
      <c r="T279" s="9" t="s">
        <v>762</v>
      </c>
      <c r="U279" s="9" t="s">
        <v>769</v>
      </c>
    </row>
    <row r="280" customFormat="false" ht="15" hidden="false" customHeight="false" outlineLevel="0" collapsed="false">
      <c r="A280" s="9"/>
      <c r="B280" s="9"/>
      <c r="C280" s="9"/>
      <c r="D280" s="9"/>
      <c r="E280" s="9"/>
      <c r="F280" s="9" t="s">
        <v>770</v>
      </c>
      <c r="G280" s="10" t="s">
        <v>771</v>
      </c>
      <c r="H280" s="9" t="s">
        <v>767</v>
      </c>
      <c r="I280" s="9" t="n">
        <v>1</v>
      </c>
      <c r="J280" s="9" t="n">
        <v>0</v>
      </c>
      <c r="K280" s="11" t="n">
        <v>0</v>
      </c>
      <c r="L280" s="11" t="n">
        <v>1</v>
      </c>
      <c r="M280" s="9" t="n">
        <v>0</v>
      </c>
      <c r="N280" s="11" t="n">
        <v>0.667</v>
      </c>
      <c r="O280" s="11" t="n">
        <v>0.55</v>
      </c>
      <c r="P280" s="12"/>
      <c r="Q280" s="12"/>
      <c r="R280" s="12"/>
      <c r="S280" s="12"/>
      <c r="T280" s="9" t="s">
        <v>762</v>
      </c>
      <c r="U280" s="9" t="s">
        <v>771</v>
      </c>
    </row>
    <row r="281" customFormat="false" ht="15" hidden="false" customHeight="false" outlineLevel="0" collapsed="false">
      <c r="A281" s="7" t="s">
        <v>43</v>
      </c>
      <c r="B281" s="7" t="s">
        <v>772</v>
      </c>
      <c r="C281" s="8" t="s">
        <v>773</v>
      </c>
      <c r="D281" s="7" t="s">
        <v>774</v>
      </c>
      <c r="E281" s="7" t="n">
        <v>5758</v>
      </c>
      <c r="F281" s="9" t="s">
        <v>772</v>
      </c>
      <c r="G281" s="10" t="s">
        <v>775</v>
      </c>
      <c r="H281" s="9" t="s">
        <v>776</v>
      </c>
      <c r="I281" s="9" t="n">
        <v>74</v>
      </c>
      <c r="J281" s="9" t="n">
        <v>2510</v>
      </c>
      <c r="K281" s="11" t="n">
        <v>0.484</v>
      </c>
      <c r="L281" s="11" t="n">
        <v>1</v>
      </c>
      <c r="M281" s="9" t="n">
        <v>1</v>
      </c>
      <c r="N281" s="11" t="n">
        <v>1</v>
      </c>
      <c r="O281" s="11" t="n">
        <v>1</v>
      </c>
      <c r="P281" s="12"/>
      <c r="Q281" s="12"/>
      <c r="R281" s="12"/>
      <c r="S281" s="12"/>
      <c r="T281" s="9" t="s">
        <v>777</v>
      </c>
      <c r="U281" s="9" t="s">
        <v>775</v>
      </c>
    </row>
    <row r="282" customFormat="false" ht="15" hidden="false" customHeight="false" outlineLevel="0" collapsed="false">
      <c r="A282" s="9"/>
      <c r="B282" s="9"/>
      <c r="C282" s="9"/>
      <c r="D282" s="9"/>
      <c r="E282" s="9"/>
      <c r="F282" s="9" t="s">
        <v>772</v>
      </c>
      <c r="G282" s="10" t="s">
        <v>778</v>
      </c>
      <c r="H282" s="9" t="s">
        <v>779</v>
      </c>
      <c r="I282" s="9" t="n">
        <v>17</v>
      </c>
      <c r="J282" s="9" t="n">
        <v>36</v>
      </c>
      <c r="K282" s="11" t="n">
        <v>0.007</v>
      </c>
      <c r="L282" s="11" t="n">
        <v>1</v>
      </c>
      <c r="M282" s="9" t="n">
        <v>1</v>
      </c>
      <c r="N282" s="11" t="n">
        <v>0.882</v>
      </c>
      <c r="O282" s="11" t="n">
        <v>0.882</v>
      </c>
      <c r="P282" s="12"/>
      <c r="Q282" s="12"/>
      <c r="R282" s="12"/>
      <c r="S282" s="12"/>
      <c r="T282" s="9" t="s">
        <v>777</v>
      </c>
      <c r="U282" s="9" t="s">
        <v>778</v>
      </c>
    </row>
    <row r="283" customFormat="false" ht="15" hidden="false" customHeight="false" outlineLevel="0" collapsed="false">
      <c r="A283" s="9"/>
      <c r="B283" s="9"/>
      <c r="C283" s="9"/>
      <c r="D283" s="9"/>
      <c r="E283" s="9"/>
      <c r="F283" s="9" t="s">
        <v>772</v>
      </c>
      <c r="G283" s="10" t="s">
        <v>780</v>
      </c>
      <c r="H283" s="9" t="s">
        <v>781</v>
      </c>
      <c r="I283" s="9" t="n">
        <v>177</v>
      </c>
      <c r="J283" s="9" t="n">
        <v>3446</v>
      </c>
      <c r="K283" s="11" t="n">
        <v>0.664</v>
      </c>
      <c r="L283" s="11" t="n">
        <v>1</v>
      </c>
      <c r="M283" s="9" t="n">
        <v>1</v>
      </c>
      <c r="N283" s="11" t="n">
        <v>0.131</v>
      </c>
      <c r="O283" s="11" t="n">
        <v>0.87</v>
      </c>
      <c r="P283" s="12"/>
      <c r="Q283" s="12"/>
      <c r="R283" s="12"/>
      <c r="S283" s="12"/>
      <c r="T283" s="9" t="s">
        <v>777</v>
      </c>
      <c r="U283" s="9" t="s">
        <v>780</v>
      </c>
    </row>
    <row r="284" customFormat="false" ht="15" hidden="false" customHeight="false" outlineLevel="0" collapsed="false">
      <c r="A284" s="9"/>
      <c r="B284" s="9"/>
      <c r="C284" s="9"/>
      <c r="D284" s="9"/>
      <c r="E284" s="9"/>
      <c r="F284" s="9" t="s">
        <v>772</v>
      </c>
      <c r="G284" s="10" t="s">
        <v>782</v>
      </c>
      <c r="H284" s="9"/>
      <c r="I284" s="9" t="n">
        <v>1</v>
      </c>
      <c r="J284" s="9" t="n">
        <v>2</v>
      </c>
      <c r="K284" s="11" t="n">
        <v>0</v>
      </c>
      <c r="L284" s="11" t="n">
        <v>1</v>
      </c>
      <c r="M284" s="9" t="n">
        <v>0</v>
      </c>
      <c r="N284" s="11" t="n">
        <v>1</v>
      </c>
      <c r="O284" s="11" t="n">
        <v>0.6</v>
      </c>
      <c r="P284" s="12"/>
      <c r="Q284" s="12"/>
      <c r="R284" s="12"/>
      <c r="S284" s="12"/>
      <c r="T284" s="9" t="s">
        <v>777</v>
      </c>
      <c r="U284" s="9" t="s">
        <v>782</v>
      </c>
    </row>
    <row r="285" customFormat="false" ht="15" hidden="false" customHeight="false" outlineLevel="0" collapsed="false">
      <c r="A285" s="9"/>
      <c r="B285" s="9"/>
      <c r="C285" s="9"/>
      <c r="D285" s="9"/>
      <c r="E285" s="9"/>
      <c r="F285" s="9" t="s">
        <v>772</v>
      </c>
      <c r="G285" s="10" t="s">
        <v>783</v>
      </c>
      <c r="H285" s="9"/>
      <c r="I285" s="9" t="n">
        <v>2</v>
      </c>
      <c r="J285" s="9" t="n">
        <v>0</v>
      </c>
      <c r="K285" s="11" t="n">
        <v>0</v>
      </c>
      <c r="L285" s="11" t="n">
        <v>1</v>
      </c>
      <c r="M285" s="9" t="n">
        <v>0</v>
      </c>
      <c r="N285" s="11" t="n">
        <v>1</v>
      </c>
      <c r="O285" s="11" t="n">
        <v>0.6</v>
      </c>
      <c r="P285" s="12"/>
      <c r="Q285" s="12"/>
      <c r="R285" s="12"/>
      <c r="S285" s="12"/>
      <c r="T285" s="9" t="s">
        <v>777</v>
      </c>
      <c r="U285" s="9" t="s">
        <v>783</v>
      </c>
    </row>
    <row r="286" customFormat="false" ht="15" hidden="false" customHeight="false" outlineLevel="0" collapsed="false">
      <c r="A286" s="7" t="s">
        <v>43</v>
      </c>
      <c r="B286" s="7" t="s">
        <v>784</v>
      </c>
      <c r="C286" s="8" t="s">
        <v>785</v>
      </c>
      <c r="D286" s="7" t="s">
        <v>786</v>
      </c>
      <c r="E286" s="7" t="n">
        <v>1920</v>
      </c>
      <c r="F286" s="9" t="s">
        <v>784</v>
      </c>
      <c r="G286" s="10" t="s">
        <v>787</v>
      </c>
      <c r="H286" s="9" t="s">
        <v>788</v>
      </c>
      <c r="I286" s="9" t="n">
        <v>84</v>
      </c>
      <c r="J286" s="9" t="n">
        <v>1215</v>
      </c>
      <c r="K286" s="11" t="n">
        <v>0.698</v>
      </c>
      <c r="L286" s="11" t="n">
        <v>1</v>
      </c>
      <c r="M286" s="9" t="n">
        <v>1</v>
      </c>
      <c r="N286" s="11" t="n">
        <v>1</v>
      </c>
      <c r="O286" s="11" t="n">
        <v>1</v>
      </c>
      <c r="P286" s="12"/>
      <c r="Q286" s="12"/>
      <c r="R286" s="12"/>
      <c r="S286" s="12"/>
      <c r="T286" s="9" t="s">
        <v>789</v>
      </c>
      <c r="U286" s="9" t="s">
        <v>787</v>
      </c>
    </row>
    <row r="287" customFormat="false" ht="15" hidden="false" customHeight="false" outlineLevel="0" collapsed="false">
      <c r="A287" s="9"/>
      <c r="B287" s="9"/>
      <c r="C287" s="9"/>
      <c r="D287" s="9"/>
      <c r="E287" s="9"/>
      <c r="F287" s="9" t="s">
        <v>790</v>
      </c>
      <c r="G287" s="10" t="s">
        <v>791</v>
      </c>
      <c r="H287" s="9" t="s">
        <v>785</v>
      </c>
      <c r="I287" s="9" t="n">
        <v>6</v>
      </c>
      <c r="J287" s="9" t="n">
        <v>76</v>
      </c>
      <c r="K287" s="11" t="n">
        <v>0.044</v>
      </c>
      <c r="L287" s="11" t="n">
        <v>1</v>
      </c>
      <c r="M287" s="9" t="n">
        <v>1</v>
      </c>
      <c r="N287" s="11" t="n">
        <v>1</v>
      </c>
      <c r="O287" s="11" t="n">
        <v>0.95</v>
      </c>
      <c r="P287" s="12"/>
      <c r="Q287" s="12"/>
      <c r="R287" s="12"/>
      <c r="S287" s="12"/>
      <c r="T287" s="9" t="s">
        <v>789</v>
      </c>
      <c r="U287" s="9" t="s">
        <v>791</v>
      </c>
    </row>
    <row r="288" customFormat="false" ht="15" hidden="false" customHeight="false" outlineLevel="0" collapsed="false">
      <c r="A288" s="9"/>
      <c r="B288" s="9"/>
      <c r="C288" s="9"/>
      <c r="D288" s="9"/>
      <c r="E288" s="9"/>
      <c r="F288" s="9" t="s">
        <v>784</v>
      </c>
      <c r="G288" s="10" t="s">
        <v>792</v>
      </c>
      <c r="H288" s="9" t="s">
        <v>788</v>
      </c>
      <c r="I288" s="9" t="n">
        <v>3</v>
      </c>
      <c r="J288" s="9" t="n">
        <v>0</v>
      </c>
      <c r="K288" s="11" t="n">
        <v>0</v>
      </c>
      <c r="L288" s="11" t="n">
        <v>1</v>
      </c>
      <c r="M288" s="9" t="n">
        <v>1</v>
      </c>
      <c r="N288" s="11" t="n">
        <v>1</v>
      </c>
      <c r="O288" s="11" t="n">
        <v>0.9</v>
      </c>
      <c r="P288" s="12"/>
      <c r="Q288" s="12"/>
      <c r="R288" s="12"/>
      <c r="S288" s="12"/>
      <c r="T288" s="9" t="s">
        <v>789</v>
      </c>
      <c r="U288" s="9" t="s">
        <v>792</v>
      </c>
    </row>
    <row r="289" customFormat="false" ht="15" hidden="false" customHeight="false" outlineLevel="0" collapsed="false">
      <c r="A289" s="9"/>
      <c r="B289" s="9"/>
      <c r="C289" s="9"/>
      <c r="D289" s="9"/>
      <c r="E289" s="9"/>
      <c r="F289" s="9" t="s">
        <v>793</v>
      </c>
      <c r="G289" s="10" t="s">
        <v>794</v>
      </c>
      <c r="H289" s="9" t="s">
        <v>773</v>
      </c>
      <c r="I289" s="9" t="n">
        <v>1</v>
      </c>
      <c r="J289" s="9" t="n">
        <v>1</v>
      </c>
      <c r="K289" s="11" t="n">
        <v>0.001</v>
      </c>
      <c r="L289" s="11" t="n">
        <v>1</v>
      </c>
      <c r="M289" s="9" t="n">
        <v>0.5</v>
      </c>
      <c r="N289" s="11" t="n">
        <v>1</v>
      </c>
      <c r="O289" s="11" t="n">
        <v>0.75</v>
      </c>
      <c r="P289" s="12"/>
      <c r="Q289" s="12"/>
      <c r="R289" s="12"/>
      <c r="S289" s="12"/>
      <c r="T289" s="9" t="s">
        <v>789</v>
      </c>
      <c r="U289" s="9" t="s">
        <v>794</v>
      </c>
    </row>
    <row r="290" customFormat="false" ht="15" hidden="false" customHeight="false" outlineLevel="0" collapsed="false">
      <c r="A290" s="7" t="s">
        <v>43</v>
      </c>
      <c r="B290" s="7" t="s">
        <v>795</v>
      </c>
      <c r="C290" s="8" t="s">
        <v>796</v>
      </c>
      <c r="D290" s="7" t="s">
        <v>797</v>
      </c>
      <c r="E290" s="7" t="n">
        <v>2539</v>
      </c>
      <c r="F290" s="9" t="s">
        <v>795</v>
      </c>
      <c r="G290" s="10" t="s">
        <v>798</v>
      </c>
      <c r="H290" s="9"/>
      <c r="I290" s="9" t="n">
        <v>89</v>
      </c>
      <c r="J290" s="9" t="n">
        <v>1110</v>
      </c>
      <c r="K290" s="11" t="n">
        <v>0.458</v>
      </c>
      <c r="L290" s="11" t="n">
        <v>1</v>
      </c>
      <c r="M290" s="9" t="n">
        <v>1</v>
      </c>
      <c r="N290" s="11" t="n">
        <v>0.538</v>
      </c>
      <c r="O290" s="11" t="n">
        <v>0.931</v>
      </c>
      <c r="P290" s="12"/>
      <c r="Q290" s="12"/>
      <c r="R290" s="12"/>
      <c r="S290" s="12"/>
      <c r="T290" s="9" t="s">
        <v>799</v>
      </c>
      <c r="U290" s="9" t="s">
        <v>798</v>
      </c>
    </row>
    <row r="291" customFormat="false" ht="15" hidden="false" customHeight="false" outlineLevel="0" collapsed="false">
      <c r="A291" s="9"/>
      <c r="B291" s="9"/>
      <c r="C291" s="9"/>
      <c r="D291" s="9"/>
      <c r="E291" s="9"/>
      <c r="F291" s="9" t="s">
        <v>800</v>
      </c>
      <c r="G291" s="10" t="s">
        <v>801</v>
      </c>
      <c r="H291" s="9" t="s">
        <v>802</v>
      </c>
      <c r="I291" s="9" t="n">
        <v>1409</v>
      </c>
      <c r="J291" s="9" t="n">
        <v>33517</v>
      </c>
      <c r="K291" s="11" t="n">
        <v>13.839</v>
      </c>
      <c r="L291" s="11" t="n">
        <v>1</v>
      </c>
      <c r="M291" s="9" t="n">
        <v>1</v>
      </c>
      <c r="N291" s="11" t="n">
        <v>0.519</v>
      </c>
      <c r="O291" s="11" t="n">
        <v>0.828</v>
      </c>
      <c r="P291" s="12"/>
      <c r="Q291" s="12"/>
      <c r="R291" s="12"/>
      <c r="S291" s="12"/>
      <c r="T291" s="9" t="s">
        <v>799</v>
      </c>
      <c r="U291" s="9" t="s">
        <v>801</v>
      </c>
    </row>
    <row r="292" customFormat="false" ht="15" hidden="false" customHeight="false" outlineLevel="0" collapsed="false">
      <c r="A292" s="9"/>
      <c r="B292" s="9"/>
      <c r="C292" s="9"/>
      <c r="D292" s="9"/>
      <c r="E292" s="9"/>
      <c r="F292" s="9" t="s">
        <v>803</v>
      </c>
      <c r="G292" s="10" t="s">
        <v>804</v>
      </c>
      <c r="H292" s="9" t="s">
        <v>805</v>
      </c>
      <c r="I292" s="9" t="n">
        <v>157</v>
      </c>
      <c r="J292" s="9" t="n">
        <v>254</v>
      </c>
      <c r="K292" s="11" t="n">
        <v>0.105</v>
      </c>
      <c r="L292" s="11" t="n">
        <v>1</v>
      </c>
      <c r="M292" s="9" t="n">
        <v>0</v>
      </c>
      <c r="N292" s="11" t="n">
        <v>0.853</v>
      </c>
      <c r="O292" s="11" t="n">
        <v>0.678</v>
      </c>
      <c r="P292" s="12"/>
      <c r="Q292" s="12"/>
      <c r="R292" s="12"/>
      <c r="S292" s="12"/>
      <c r="T292" s="9" t="s">
        <v>799</v>
      </c>
      <c r="U292" s="9" t="s">
        <v>804</v>
      </c>
    </row>
    <row r="293" customFormat="false" ht="15" hidden="false" customHeight="false" outlineLevel="0" collapsed="false">
      <c r="A293" s="9"/>
      <c r="B293" s="9"/>
      <c r="C293" s="9"/>
      <c r="D293" s="9"/>
      <c r="E293" s="9"/>
      <c r="F293" s="9" t="s">
        <v>806</v>
      </c>
      <c r="G293" s="10" t="s">
        <v>807</v>
      </c>
      <c r="H293" s="9" t="s">
        <v>808</v>
      </c>
      <c r="I293" s="9" t="n">
        <v>47</v>
      </c>
      <c r="J293" s="9" t="n">
        <v>541</v>
      </c>
      <c r="K293" s="11" t="n">
        <v>0.223</v>
      </c>
      <c r="L293" s="11" t="n">
        <v>0.872</v>
      </c>
      <c r="M293" s="9" t="n">
        <v>0</v>
      </c>
      <c r="N293" s="11" t="n">
        <v>0.848</v>
      </c>
      <c r="O293" s="11" t="n">
        <v>0.62</v>
      </c>
      <c r="P293" s="12"/>
      <c r="Q293" s="12"/>
      <c r="R293" s="12"/>
      <c r="S293" s="12"/>
      <c r="T293" s="9" t="s">
        <v>799</v>
      </c>
      <c r="U293" s="9" t="s">
        <v>807</v>
      </c>
    </row>
    <row r="294" customFormat="false" ht="15" hidden="false" customHeight="false" outlineLevel="0" collapsed="false">
      <c r="A294" s="9"/>
      <c r="B294" s="9"/>
      <c r="C294" s="9"/>
      <c r="D294" s="9"/>
      <c r="E294" s="9"/>
      <c r="F294" s="9" t="s">
        <v>809</v>
      </c>
      <c r="G294" s="10" t="s">
        <v>810</v>
      </c>
      <c r="H294" s="9"/>
      <c r="I294" s="9" t="n">
        <v>1</v>
      </c>
      <c r="J294" s="9" t="n">
        <v>16</v>
      </c>
      <c r="K294" s="11" t="n">
        <v>0.007</v>
      </c>
      <c r="L294" s="11" t="n">
        <v>1</v>
      </c>
      <c r="M294" s="9" t="n">
        <v>0</v>
      </c>
      <c r="N294" s="11" t="n">
        <v>1</v>
      </c>
      <c r="O294" s="11" t="n">
        <v>0.6</v>
      </c>
      <c r="P294" s="12"/>
      <c r="Q294" s="12"/>
      <c r="R294" s="12"/>
      <c r="S294" s="12"/>
      <c r="T294" s="9" t="s">
        <v>799</v>
      </c>
      <c r="U294" s="9" t="s">
        <v>810</v>
      </c>
    </row>
    <row r="295" customFormat="false" ht="15" hidden="false" customHeight="false" outlineLevel="0" collapsed="false">
      <c r="A295" s="7" t="s">
        <v>43</v>
      </c>
      <c r="B295" s="7" t="s">
        <v>811</v>
      </c>
      <c r="C295" s="8" t="s">
        <v>253</v>
      </c>
      <c r="D295" s="7" t="s">
        <v>812</v>
      </c>
      <c r="E295" s="7" t="n">
        <v>6796</v>
      </c>
      <c r="F295" s="9" t="s">
        <v>813</v>
      </c>
      <c r="G295" s="10" t="s">
        <v>814</v>
      </c>
      <c r="H295" s="9" t="s">
        <v>262</v>
      </c>
      <c r="I295" s="9" t="n">
        <v>274</v>
      </c>
      <c r="J295" s="9" t="n">
        <v>3690</v>
      </c>
      <c r="K295" s="11" t="n">
        <v>0.672</v>
      </c>
      <c r="L295" s="11" t="n">
        <v>1</v>
      </c>
      <c r="M295" s="9" t="n">
        <v>1</v>
      </c>
      <c r="N295" s="11" t="n">
        <v>0.735</v>
      </c>
      <c r="O295" s="11" t="n">
        <v>0.96</v>
      </c>
      <c r="P295" s="12"/>
      <c r="Q295" s="12"/>
      <c r="R295" s="12"/>
      <c r="S295" s="12"/>
      <c r="T295" s="9" t="s">
        <v>815</v>
      </c>
      <c r="U295" s="9" t="s">
        <v>814</v>
      </c>
    </row>
    <row r="296" customFormat="false" ht="15" hidden="false" customHeight="false" outlineLevel="0" collapsed="false">
      <c r="A296" s="9"/>
      <c r="B296" s="9"/>
      <c r="C296" s="9"/>
      <c r="D296" s="9"/>
      <c r="E296" s="9"/>
      <c r="F296" s="9" t="s">
        <v>811</v>
      </c>
      <c r="G296" s="10" t="s">
        <v>816</v>
      </c>
      <c r="H296" s="9" t="s">
        <v>817</v>
      </c>
      <c r="I296" s="9" t="n">
        <v>146</v>
      </c>
      <c r="J296" s="9" t="n">
        <v>1767</v>
      </c>
      <c r="K296" s="11" t="n">
        <v>0.322</v>
      </c>
      <c r="L296" s="11" t="n">
        <v>1</v>
      </c>
      <c r="M296" s="9" t="n">
        <v>1</v>
      </c>
      <c r="N296" s="11" t="n">
        <v>0</v>
      </c>
      <c r="O296" s="11" t="n">
        <v>0.85</v>
      </c>
      <c r="P296" s="12"/>
      <c r="Q296" s="12"/>
      <c r="R296" s="12"/>
      <c r="S296" s="12"/>
      <c r="T296" s="9" t="s">
        <v>815</v>
      </c>
      <c r="U296" s="9" t="s">
        <v>816</v>
      </c>
    </row>
    <row r="297" customFormat="false" ht="15" hidden="false" customHeight="false" outlineLevel="0" collapsed="false">
      <c r="A297" s="9"/>
      <c r="B297" s="9"/>
      <c r="C297" s="9"/>
      <c r="D297" s="9"/>
      <c r="E297" s="9"/>
      <c r="F297" s="9" t="s">
        <v>818</v>
      </c>
      <c r="G297" s="10" t="s">
        <v>819</v>
      </c>
      <c r="H297" s="9" t="s">
        <v>820</v>
      </c>
      <c r="I297" s="9" t="n">
        <v>383</v>
      </c>
      <c r="J297" s="9" t="n">
        <v>11360</v>
      </c>
      <c r="K297" s="11" t="n">
        <v>2.069</v>
      </c>
      <c r="L297" s="11" t="n">
        <v>1</v>
      </c>
      <c r="M297" s="9" t="n">
        <v>1</v>
      </c>
      <c r="N297" s="11" t="n">
        <v>0</v>
      </c>
      <c r="O297" s="11" t="n">
        <v>0.8</v>
      </c>
      <c r="P297" s="12"/>
      <c r="Q297" s="12"/>
      <c r="R297" s="12"/>
      <c r="S297" s="12"/>
      <c r="T297" s="9" t="s">
        <v>815</v>
      </c>
      <c r="U297" s="9" t="s">
        <v>819</v>
      </c>
    </row>
    <row r="298" customFormat="false" ht="15" hidden="false" customHeight="false" outlineLevel="0" collapsed="false">
      <c r="A298" s="9"/>
      <c r="B298" s="9"/>
      <c r="C298" s="9"/>
      <c r="D298" s="9"/>
      <c r="E298" s="9"/>
      <c r="F298" s="9" t="s">
        <v>821</v>
      </c>
      <c r="G298" s="10" t="s">
        <v>822</v>
      </c>
      <c r="H298" s="9"/>
      <c r="I298" s="9" t="n">
        <v>25</v>
      </c>
      <c r="J298" s="9" t="n">
        <v>873</v>
      </c>
      <c r="K298" s="11" t="n">
        <v>0.159</v>
      </c>
      <c r="L298" s="11" t="n">
        <v>1</v>
      </c>
      <c r="M298" s="9" t="n">
        <v>0</v>
      </c>
      <c r="N298" s="11" t="n">
        <v>1</v>
      </c>
      <c r="O298" s="11" t="n">
        <v>0.7</v>
      </c>
      <c r="P298" s="12"/>
      <c r="Q298" s="12"/>
      <c r="R298" s="12"/>
      <c r="S298" s="12"/>
      <c r="T298" s="9" t="s">
        <v>815</v>
      </c>
      <c r="U298" s="9" t="s">
        <v>822</v>
      </c>
    </row>
    <row r="299" customFormat="false" ht="15" hidden="false" customHeight="false" outlineLevel="0" collapsed="false">
      <c r="A299" s="9"/>
      <c r="B299" s="9"/>
      <c r="C299" s="9"/>
      <c r="D299" s="9"/>
      <c r="E299" s="9"/>
      <c r="F299" s="9" t="s">
        <v>823</v>
      </c>
      <c r="G299" s="10" t="s">
        <v>824</v>
      </c>
      <c r="H299" s="9"/>
      <c r="I299" s="9" t="n">
        <v>116</v>
      </c>
      <c r="J299" s="9" t="n">
        <v>1425</v>
      </c>
      <c r="K299" s="11" t="n">
        <v>0.26</v>
      </c>
      <c r="L299" s="11" t="n">
        <v>1</v>
      </c>
      <c r="M299" s="9" t="n">
        <v>0</v>
      </c>
      <c r="N299" s="11" t="n">
        <v>0.495</v>
      </c>
      <c r="O299" s="11" t="n">
        <v>0.624</v>
      </c>
      <c r="P299" s="12"/>
      <c r="Q299" s="12"/>
      <c r="R299" s="12"/>
      <c r="S299" s="12"/>
      <c r="T299" s="9" t="s">
        <v>815</v>
      </c>
      <c r="U299" s="9" t="s">
        <v>824</v>
      </c>
    </row>
    <row r="300" customFormat="false" ht="15" hidden="false" customHeight="false" outlineLevel="0" collapsed="false">
      <c r="A300" s="7" t="s">
        <v>43</v>
      </c>
      <c r="B300" s="7" t="s">
        <v>825</v>
      </c>
      <c r="C300" s="8" t="s">
        <v>92</v>
      </c>
      <c r="D300" s="7" t="s">
        <v>826</v>
      </c>
      <c r="E300" s="7" t="n">
        <v>9206</v>
      </c>
      <c r="F300" s="9" t="s">
        <v>825</v>
      </c>
      <c r="G300" s="10" t="s">
        <v>827</v>
      </c>
      <c r="H300" s="9" t="s">
        <v>95</v>
      </c>
      <c r="I300" s="9" t="n">
        <v>125</v>
      </c>
      <c r="J300" s="9" t="n">
        <v>1815</v>
      </c>
      <c r="K300" s="11" t="n">
        <v>0.206</v>
      </c>
      <c r="L300" s="11" t="n">
        <v>1</v>
      </c>
      <c r="M300" s="9" t="n">
        <v>1</v>
      </c>
      <c r="N300" s="11" t="n">
        <v>1</v>
      </c>
      <c r="O300" s="11" t="n">
        <v>1</v>
      </c>
      <c r="P300" s="12"/>
      <c r="Q300" s="12"/>
      <c r="R300" s="12"/>
      <c r="S300" s="12"/>
      <c r="T300" s="9" t="s">
        <v>828</v>
      </c>
      <c r="U300" s="9" t="s">
        <v>827</v>
      </c>
    </row>
    <row r="301" customFormat="false" ht="15" hidden="false" customHeight="false" outlineLevel="0" collapsed="false">
      <c r="A301" s="9"/>
      <c r="B301" s="9"/>
      <c r="C301" s="9"/>
      <c r="D301" s="9"/>
      <c r="E301" s="9"/>
      <c r="F301" s="9" t="s">
        <v>825</v>
      </c>
      <c r="G301" s="10" t="s">
        <v>829</v>
      </c>
      <c r="H301" s="9" t="s">
        <v>830</v>
      </c>
      <c r="I301" s="9" t="n">
        <v>76</v>
      </c>
      <c r="J301" s="9" t="n">
        <v>1174</v>
      </c>
      <c r="K301" s="11" t="n">
        <v>0.133</v>
      </c>
      <c r="L301" s="11" t="n">
        <v>1</v>
      </c>
      <c r="M301" s="9" t="n">
        <v>1</v>
      </c>
      <c r="N301" s="11" t="n">
        <v>1</v>
      </c>
      <c r="O301" s="11" t="n">
        <v>1</v>
      </c>
      <c r="P301" s="12"/>
      <c r="Q301" s="12"/>
      <c r="R301" s="12"/>
      <c r="S301" s="12"/>
      <c r="T301" s="9" t="s">
        <v>828</v>
      </c>
      <c r="U301" s="9" t="s">
        <v>829</v>
      </c>
    </row>
    <row r="302" customFormat="false" ht="15" hidden="false" customHeight="false" outlineLevel="0" collapsed="false">
      <c r="A302" s="9"/>
      <c r="B302" s="9"/>
      <c r="C302" s="9"/>
      <c r="D302" s="9"/>
      <c r="E302" s="9"/>
      <c r="F302" s="9" t="s">
        <v>831</v>
      </c>
      <c r="G302" s="10" t="s">
        <v>832</v>
      </c>
      <c r="H302" s="9" t="s">
        <v>95</v>
      </c>
      <c r="I302" s="9" t="n">
        <v>95</v>
      </c>
      <c r="J302" s="9" t="n">
        <v>1532</v>
      </c>
      <c r="K302" s="11" t="n">
        <v>0.174</v>
      </c>
      <c r="L302" s="11" t="n">
        <v>1</v>
      </c>
      <c r="M302" s="9" t="n">
        <v>1</v>
      </c>
      <c r="N302" s="11" t="n">
        <v>1</v>
      </c>
      <c r="O302" s="11" t="n">
        <v>1</v>
      </c>
      <c r="P302" s="12"/>
      <c r="Q302" s="12"/>
      <c r="R302" s="12"/>
      <c r="S302" s="12"/>
      <c r="T302" s="9" t="s">
        <v>828</v>
      </c>
      <c r="U302" s="9" t="s">
        <v>832</v>
      </c>
    </row>
    <row r="303" customFormat="false" ht="15" hidden="false" customHeight="false" outlineLevel="0" collapsed="false">
      <c r="A303" s="9"/>
      <c r="B303" s="9"/>
      <c r="C303" s="9"/>
      <c r="D303" s="9"/>
      <c r="E303" s="9"/>
      <c r="F303" s="9" t="s">
        <v>825</v>
      </c>
      <c r="G303" s="10" t="s">
        <v>833</v>
      </c>
      <c r="H303" s="9"/>
      <c r="I303" s="9" t="n">
        <v>33</v>
      </c>
      <c r="J303" s="9" t="n">
        <v>433</v>
      </c>
      <c r="K303" s="11" t="n">
        <v>0.049</v>
      </c>
      <c r="L303" s="11" t="n">
        <v>1</v>
      </c>
      <c r="M303" s="9" t="n">
        <v>1</v>
      </c>
      <c r="N303" s="11" t="n">
        <v>0.81</v>
      </c>
      <c r="O303" s="11" t="n">
        <v>0.921</v>
      </c>
      <c r="P303" s="12"/>
      <c r="Q303" s="12"/>
      <c r="R303" s="12"/>
      <c r="S303" s="12"/>
      <c r="T303" s="9" t="s">
        <v>828</v>
      </c>
      <c r="U303" s="9" t="s">
        <v>833</v>
      </c>
    </row>
    <row r="304" customFormat="false" ht="15" hidden="false" customHeight="false" outlineLevel="0" collapsed="false">
      <c r="A304" s="9"/>
      <c r="B304" s="9"/>
      <c r="C304" s="9"/>
      <c r="D304" s="9"/>
      <c r="E304" s="9"/>
      <c r="F304" s="9" t="s">
        <v>825</v>
      </c>
      <c r="G304" s="10" t="s">
        <v>834</v>
      </c>
      <c r="H304" s="9" t="s">
        <v>329</v>
      </c>
      <c r="I304" s="9" t="n">
        <v>10</v>
      </c>
      <c r="J304" s="9" t="n">
        <v>8</v>
      </c>
      <c r="K304" s="11" t="n">
        <v>0.001</v>
      </c>
      <c r="L304" s="11" t="n">
        <v>1</v>
      </c>
      <c r="M304" s="9" t="n">
        <v>1</v>
      </c>
      <c r="N304" s="11" t="n">
        <v>0.875</v>
      </c>
      <c r="O304" s="11" t="n">
        <v>0.881</v>
      </c>
      <c r="P304" s="12"/>
      <c r="Q304" s="12"/>
      <c r="R304" s="12"/>
      <c r="S304" s="12"/>
      <c r="T304" s="9" t="s">
        <v>828</v>
      </c>
      <c r="U304" s="9" t="s">
        <v>834</v>
      </c>
    </row>
    <row r="305" customFormat="false" ht="15" hidden="false" customHeight="false" outlineLevel="0" collapsed="false">
      <c r="A305" s="7" t="s">
        <v>43</v>
      </c>
      <c r="B305" s="7" t="s">
        <v>835</v>
      </c>
      <c r="C305" s="8" t="s">
        <v>333</v>
      </c>
      <c r="D305" s="7" t="s">
        <v>836</v>
      </c>
      <c r="E305" s="7" t="n">
        <v>2921</v>
      </c>
      <c r="F305" s="9" t="s">
        <v>837</v>
      </c>
      <c r="G305" s="10" t="s">
        <v>838</v>
      </c>
      <c r="H305" s="9" t="s">
        <v>839</v>
      </c>
      <c r="I305" s="9" t="n">
        <v>461</v>
      </c>
      <c r="J305" s="9" t="n">
        <v>2274</v>
      </c>
      <c r="K305" s="11" t="n">
        <v>0.881</v>
      </c>
      <c r="L305" s="11" t="n">
        <v>1</v>
      </c>
      <c r="M305" s="9" t="n">
        <v>1</v>
      </c>
      <c r="N305" s="11" t="n">
        <v>0.795</v>
      </c>
      <c r="O305" s="11" t="n">
        <v>0.969</v>
      </c>
      <c r="P305" s="12"/>
      <c r="Q305" s="12"/>
      <c r="R305" s="12"/>
      <c r="S305" s="12"/>
      <c r="T305" s="9" t="s">
        <v>840</v>
      </c>
      <c r="U305" s="9" t="s">
        <v>838</v>
      </c>
    </row>
    <row r="306" customFormat="false" ht="15" hidden="false" customHeight="false" outlineLevel="0" collapsed="false">
      <c r="A306" s="9"/>
      <c r="B306" s="9"/>
      <c r="C306" s="9"/>
      <c r="D306" s="9"/>
      <c r="E306" s="9"/>
      <c r="F306" s="9" t="s">
        <v>835</v>
      </c>
      <c r="G306" s="10" t="s">
        <v>841</v>
      </c>
      <c r="H306" s="9" t="s">
        <v>842</v>
      </c>
      <c r="I306" s="9" t="n">
        <v>98</v>
      </c>
      <c r="J306" s="9" t="n">
        <v>298</v>
      </c>
      <c r="K306" s="11" t="n">
        <v>0.115</v>
      </c>
      <c r="L306" s="11" t="n">
        <v>1</v>
      </c>
      <c r="M306" s="9" t="n">
        <v>1</v>
      </c>
      <c r="N306" s="11" t="n">
        <v>0.667</v>
      </c>
      <c r="O306" s="11" t="n">
        <v>0.95</v>
      </c>
      <c r="P306" s="12"/>
      <c r="Q306" s="12"/>
      <c r="R306" s="12"/>
      <c r="S306" s="12"/>
      <c r="T306" s="9" t="s">
        <v>840</v>
      </c>
      <c r="U306" s="9" t="s">
        <v>841</v>
      </c>
    </row>
    <row r="307" customFormat="false" ht="15" hidden="false" customHeight="false" outlineLevel="0" collapsed="false">
      <c r="A307" s="9"/>
      <c r="B307" s="9"/>
      <c r="C307" s="9"/>
      <c r="D307" s="9"/>
      <c r="E307" s="9"/>
      <c r="F307" s="9" t="s">
        <v>843</v>
      </c>
      <c r="G307" s="10" t="s">
        <v>844</v>
      </c>
      <c r="H307" s="9" t="s">
        <v>845</v>
      </c>
      <c r="I307" s="9" t="n">
        <v>74</v>
      </c>
      <c r="J307" s="9" t="n">
        <v>1582</v>
      </c>
      <c r="K307" s="11" t="n">
        <v>0.613</v>
      </c>
      <c r="L307" s="11" t="n">
        <v>1</v>
      </c>
      <c r="M307" s="9" t="n">
        <v>0</v>
      </c>
      <c r="N307" s="11" t="n">
        <v>0.711</v>
      </c>
      <c r="O307" s="11" t="n">
        <v>0.657</v>
      </c>
      <c r="P307" s="12"/>
      <c r="Q307" s="12"/>
      <c r="R307" s="12"/>
      <c r="S307" s="12"/>
      <c r="T307" s="9" t="s">
        <v>840</v>
      </c>
      <c r="U307" s="9" t="s">
        <v>844</v>
      </c>
    </row>
    <row r="308" customFormat="false" ht="15" hidden="false" customHeight="false" outlineLevel="0" collapsed="false">
      <c r="A308" s="9"/>
      <c r="B308" s="9"/>
      <c r="C308" s="9"/>
      <c r="D308" s="9"/>
      <c r="E308" s="9"/>
      <c r="F308" s="9" t="s">
        <v>846</v>
      </c>
      <c r="G308" s="10" t="s">
        <v>847</v>
      </c>
      <c r="H308" s="9"/>
      <c r="I308" s="9" t="n">
        <v>12</v>
      </c>
      <c r="J308" s="9" t="n">
        <v>56</v>
      </c>
      <c r="K308" s="11" t="n">
        <v>0.022</v>
      </c>
      <c r="L308" s="11" t="n">
        <v>1</v>
      </c>
      <c r="M308" s="9" t="n">
        <v>0.5</v>
      </c>
      <c r="N308" s="11" t="n">
        <v>0.125</v>
      </c>
      <c r="O308" s="11" t="n">
        <v>0.619</v>
      </c>
      <c r="P308" s="12"/>
      <c r="Q308" s="12"/>
      <c r="R308" s="12"/>
      <c r="S308" s="12"/>
      <c r="T308" s="9" t="s">
        <v>840</v>
      </c>
      <c r="U308" s="9" t="s">
        <v>847</v>
      </c>
    </row>
    <row r="309" customFormat="false" ht="15" hidden="false" customHeight="false" outlineLevel="0" collapsed="false">
      <c r="A309" s="9"/>
      <c r="B309" s="9"/>
      <c r="C309" s="9"/>
      <c r="D309" s="9"/>
      <c r="E309" s="9"/>
      <c r="F309" s="9" t="s">
        <v>835</v>
      </c>
      <c r="G309" s="10" t="s">
        <v>848</v>
      </c>
      <c r="H309" s="9" t="s">
        <v>849</v>
      </c>
      <c r="I309" s="9" t="n">
        <v>4</v>
      </c>
      <c r="J309" s="9" t="n">
        <v>24</v>
      </c>
      <c r="K309" s="11" t="n">
        <v>0.009</v>
      </c>
      <c r="L309" s="11" t="n">
        <v>1</v>
      </c>
      <c r="M309" s="9" t="n">
        <v>0</v>
      </c>
      <c r="N309" s="11" t="n">
        <v>1</v>
      </c>
      <c r="O309" s="11" t="n">
        <v>0.6</v>
      </c>
      <c r="P309" s="12"/>
      <c r="Q309" s="12"/>
      <c r="R309" s="12"/>
      <c r="S309" s="12"/>
      <c r="T309" s="9" t="s">
        <v>840</v>
      </c>
      <c r="U309" s="9" t="s">
        <v>848</v>
      </c>
    </row>
    <row r="310" customFormat="false" ht="15" hidden="false" customHeight="false" outlineLevel="0" collapsed="false">
      <c r="A310" s="7" t="s">
        <v>43</v>
      </c>
      <c r="B310" s="7" t="s">
        <v>850</v>
      </c>
      <c r="C310" s="8" t="s">
        <v>851</v>
      </c>
      <c r="D310" s="7" t="s">
        <v>852</v>
      </c>
      <c r="E310" s="7" t="n">
        <v>1950</v>
      </c>
      <c r="F310" s="9" t="s">
        <v>850</v>
      </c>
      <c r="G310" s="10" t="s">
        <v>853</v>
      </c>
      <c r="H310" s="9" t="s">
        <v>854</v>
      </c>
      <c r="I310" s="9" t="n">
        <v>98</v>
      </c>
      <c r="J310" s="9" t="n">
        <v>725</v>
      </c>
      <c r="K310" s="11" t="n">
        <v>0.411</v>
      </c>
      <c r="L310" s="11" t="n">
        <v>1</v>
      </c>
      <c r="M310" s="9" t="n">
        <v>1</v>
      </c>
      <c r="N310" s="11" t="n">
        <v>0.899</v>
      </c>
      <c r="O310" s="11" t="n">
        <v>0.985</v>
      </c>
      <c r="P310" s="12"/>
      <c r="Q310" s="12"/>
      <c r="R310" s="12"/>
      <c r="S310" s="12"/>
      <c r="T310" s="9" t="s">
        <v>855</v>
      </c>
      <c r="U310" s="9" t="s">
        <v>853</v>
      </c>
    </row>
    <row r="311" customFormat="false" ht="15" hidden="false" customHeight="false" outlineLevel="0" collapsed="false">
      <c r="A311" s="9"/>
      <c r="B311" s="9"/>
      <c r="C311" s="9"/>
      <c r="D311" s="9"/>
      <c r="E311" s="9"/>
      <c r="F311" s="9" t="s">
        <v>850</v>
      </c>
      <c r="G311" s="10" t="s">
        <v>856</v>
      </c>
      <c r="H311" s="9" t="s">
        <v>854</v>
      </c>
      <c r="I311" s="9" t="n">
        <v>10</v>
      </c>
      <c r="J311" s="9" t="n">
        <v>688</v>
      </c>
      <c r="K311" s="11" t="n">
        <v>0.39</v>
      </c>
      <c r="L311" s="11" t="n">
        <v>1</v>
      </c>
      <c r="M311" s="9" t="n">
        <v>1</v>
      </c>
      <c r="N311" s="11" t="n">
        <v>0.818</v>
      </c>
      <c r="O311" s="11" t="n">
        <v>0.973</v>
      </c>
      <c r="P311" s="12"/>
      <c r="Q311" s="12"/>
      <c r="R311" s="12"/>
      <c r="S311" s="12"/>
      <c r="T311" s="9" t="s">
        <v>855</v>
      </c>
      <c r="U311" s="9" t="s">
        <v>856</v>
      </c>
    </row>
    <row r="312" customFormat="false" ht="15" hidden="false" customHeight="false" outlineLevel="0" collapsed="false">
      <c r="A312" s="9"/>
      <c r="B312" s="9"/>
      <c r="C312" s="9"/>
      <c r="D312" s="9"/>
      <c r="E312" s="9"/>
      <c r="F312" s="9" t="s">
        <v>850</v>
      </c>
      <c r="G312" s="10" t="s">
        <v>857</v>
      </c>
      <c r="H312" s="9" t="s">
        <v>854</v>
      </c>
      <c r="I312" s="9" t="n">
        <v>1</v>
      </c>
      <c r="J312" s="9" t="n">
        <v>0</v>
      </c>
      <c r="K312" s="11" t="n">
        <v>0</v>
      </c>
      <c r="L312" s="11" t="n">
        <v>1</v>
      </c>
      <c r="M312" s="9" t="n">
        <v>1</v>
      </c>
      <c r="N312" s="11" t="n">
        <v>1</v>
      </c>
      <c r="O312" s="11" t="n">
        <v>0.9</v>
      </c>
      <c r="P312" s="12"/>
      <c r="Q312" s="12"/>
      <c r="R312" s="12"/>
      <c r="S312" s="12"/>
      <c r="T312" s="9" t="s">
        <v>855</v>
      </c>
      <c r="U312" s="9" t="s">
        <v>857</v>
      </c>
    </row>
    <row r="313" customFormat="false" ht="15" hidden="false" customHeight="false" outlineLevel="0" collapsed="false">
      <c r="A313" s="9"/>
      <c r="B313" s="9"/>
      <c r="C313" s="9"/>
      <c r="D313" s="9"/>
      <c r="E313" s="9"/>
      <c r="F313" s="9" t="s">
        <v>850</v>
      </c>
      <c r="G313" s="10" t="s">
        <v>858</v>
      </c>
      <c r="H313" s="9" t="s">
        <v>859</v>
      </c>
      <c r="I313" s="9" t="n">
        <v>11</v>
      </c>
      <c r="J313" s="9" t="n">
        <v>357</v>
      </c>
      <c r="K313" s="11" t="n">
        <v>0.202</v>
      </c>
      <c r="L313" s="11" t="n">
        <v>1</v>
      </c>
      <c r="M313" s="9" t="n">
        <v>0</v>
      </c>
      <c r="N313" s="11" t="n">
        <v>0</v>
      </c>
      <c r="O313" s="11" t="n">
        <v>0.55</v>
      </c>
      <c r="P313" s="12"/>
      <c r="Q313" s="12"/>
      <c r="R313" s="12"/>
      <c r="S313" s="12"/>
      <c r="T313" s="9" t="s">
        <v>855</v>
      </c>
      <c r="U313" s="9" t="s">
        <v>858</v>
      </c>
    </row>
    <row r="314" customFormat="false" ht="15" hidden="false" customHeight="false" outlineLevel="0" collapsed="false">
      <c r="A314" s="9"/>
      <c r="B314" s="9"/>
      <c r="C314" s="9"/>
      <c r="D314" s="9"/>
      <c r="E314" s="9"/>
      <c r="F314" s="9" t="s">
        <v>850</v>
      </c>
      <c r="G314" s="10" t="s">
        <v>860</v>
      </c>
      <c r="H314" s="9"/>
      <c r="I314" s="9" t="n">
        <v>1</v>
      </c>
      <c r="J314" s="9" t="n">
        <v>0</v>
      </c>
      <c r="K314" s="11" t="n">
        <v>0</v>
      </c>
      <c r="L314" s="11" t="n">
        <v>1</v>
      </c>
      <c r="M314" s="9" t="n">
        <v>0</v>
      </c>
      <c r="N314" s="11" t="n">
        <v>0.333</v>
      </c>
      <c r="O314" s="11" t="n">
        <v>0.5</v>
      </c>
      <c r="P314" s="12"/>
      <c r="Q314" s="12"/>
      <c r="R314" s="12"/>
      <c r="S314" s="12"/>
      <c r="T314" s="9" t="s">
        <v>855</v>
      </c>
      <c r="U314" s="9" t="s">
        <v>860</v>
      </c>
    </row>
    <row r="315" customFormat="false" ht="15" hidden="false" customHeight="false" outlineLevel="0" collapsed="false">
      <c r="A315" s="7" t="s">
        <v>43</v>
      </c>
      <c r="B315" s="7" t="s">
        <v>861</v>
      </c>
      <c r="C315" s="8" t="s">
        <v>643</v>
      </c>
      <c r="D315" s="7" t="s">
        <v>862</v>
      </c>
      <c r="E315" s="7" t="n">
        <v>2024</v>
      </c>
      <c r="F315" s="9" t="s">
        <v>863</v>
      </c>
      <c r="G315" s="10" t="s">
        <v>864</v>
      </c>
      <c r="H315" s="9" t="s">
        <v>865</v>
      </c>
      <c r="I315" s="9" t="n">
        <v>166</v>
      </c>
      <c r="J315" s="9" t="n">
        <v>1749</v>
      </c>
      <c r="K315" s="11" t="n">
        <v>0.893</v>
      </c>
      <c r="L315" s="11" t="n">
        <v>1</v>
      </c>
      <c r="M315" s="9" t="n">
        <v>1</v>
      </c>
      <c r="N315" s="11" t="n">
        <v>0.875</v>
      </c>
      <c r="O315" s="11" t="n">
        <v>0.981</v>
      </c>
      <c r="P315" s="12"/>
      <c r="Q315" s="12"/>
      <c r="R315" s="12"/>
      <c r="S315" s="12"/>
      <c r="T315" s="9" t="s">
        <v>866</v>
      </c>
      <c r="U315" s="9" t="s">
        <v>864</v>
      </c>
    </row>
    <row r="316" customFormat="false" ht="15" hidden="false" customHeight="false" outlineLevel="0" collapsed="false">
      <c r="A316" s="9"/>
      <c r="B316" s="9"/>
      <c r="C316" s="9"/>
      <c r="D316" s="9"/>
      <c r="E316" s="9"/>
      <c r="F316" s="9" t="s">
        <v>863</v>
      </c>
      <c r="G316" s="10" t="s">
        <v>867</v>
      </c>
      <c r="H316" s="9" t="s">
        <v>868</v>
      </c>
      <c r="I316" s="9" t="n">
        <v>154</v>
      </c>
      <c r="J316" s="9" t="n">
        <v>3205</v>
      </c>
      <c r="K316" s="11" t="n">
        <v>1.636</v>
      </c>
      <c r="L316" s="11" t="n">
        <v>1</v>
      </c>
      <c r="M316" s="9" t="n">
        <v>1</v>
      </c>
      <c r="N316" s="11" t="n">
        <v>0.606</v>
      </c>
      <c r="O316" s="11" t="n">
        <v>0.891</v>
      </c>
      <c r="P316" s="12"/>
      <c r="Q316" s="12"/>
      <c r="R316" s="12"/>
      <c r="S316" s="12"/>
      <c r="T316" s="9" t="s">
        <v>866</v>
      </c>
      <c r="U316" s="9" t="s">
        <v>867</v>
      </c>
    </row>
    <row r="317" customFormat="false" ht="15" hidden="false" customHeight="false" outlineLevel="0" collapsed="false">
      <c r="A317" s="9"/>
      <c r="B317" s="9"/>
      <c r="C317" s="9"/>
      <c r="D317" s="9"/>
      <c r="E317" s="9"/>
      <c r="F317" s="9" t="s">
        <v>863</v>
      </c>
      <c r="G317" s="10" t="s">
        <v>869</v>
      </c>
      <c r="H317" s="9" t="s">
        <v>870</v>
      </c>
      <c r="I317" s="9" t="n">
        <v>72</v>
      </c>
      <c r="J317" s="9" t="n">
        <v>1639</v>
      </c>
      <c r="K317" s="11" t="n">
        <v>0.837</v>
      </c>
      <c r="L317" s="11" t="n">
        <v>1</v>
      </c>
      <c r="M317" s="9" t="n">
        <v>1</v>
      </c>
      <c r="N317" s="11" t="n">
        <v>0</v>
      </c>
      <c r="O317" s="11" t="n">
        <v>0.85</v>
      </c>
      <c r="P317" s="12"/>
      <c r="Q317" s="12"/>
      <c r="R317" s="12"/>
      <c r="S317" s="12"/>
      <c r="T317" s="9" t="s">
        <v>866</v>
      </c>
      <c r="U317" s="9" t="s">
        <v>869</v>
      </c>
    </row>
    <row r="318" customFormat="false" ht="15" hidden="false" customHeight="false" outlineLevel="0" collapsed="false">
      <c r="A318" s="9"/>
      <c r="B318" s="9"/>
      <c r="C318" s="9"/>
      <c r="D318" s="9"/>
      <c r="E318" s="9"/>
      <c r="F318" s="9" t="s">
        <v>863</v>
      </c>
      <c r="G318" s="10" t="s">
        <v>871</v>
      </c>
      <c r="H318" s="9" t="s">
        <v>872</v>
      </c>
      <c r="I318" s="9" t="n">
        <v>260</v>
      </c>
      <c r="J318" s="9" t="n">
        <v>1465</v>
      </c>
      <c r="K318" s="11" t="n">
        <v>0.748</v>
      </c>
      <c r="L318" s="11" t="n">
        <v>1</v>
      </c>
      <c r="M318" s="9" t="n">
        <v>0</v>
      </c>
      <c r="N318" s="11" t="n">
        <v>0.815</v>
      </c>
      <c r="O318" s="11" t="n">
        <v>0.672</v>
      </c>
      <c r="P318" s="12"/>
      <c r="Q318" s="12"/>
      <c r="R318" s="12"/>
      <c r="S318" s="12"/>
      <c r="T318" s="9" t="s">
        <v>866</v>
      </c>
      <c r="U318" s="9" t="s">
        <v>871</v>
      </c>
    </row>
    <row r="319" customFormat="false" ht="15" hidden="false" customHeight="false" outlineLevel="0" collapsed="false">
      <c r="A319" s="9"/>
      <c r="B319" s="9"/>
      <c r="C319" s="9"/>
      <c r="D319" s="9"/>
      <c r="E319" s="9"/>
      <c r="F319" s="9" t="s">
        <v>863</v>
      </c>
      <c r="G319" s="10" t="s">
        <v>873</v>
      </c>
      <c r="H319" s="9"/>
      <c r="I319" s="9" t="n">
        <v>14</v>
      </c>
      <c r="J319" s="9" t="n">
        <v>159</v>
      </c>
      <c r="K319" s="11" t="n">
        <v>0.081</v>
      </c>
      <c r="L319" s="11" t="n">
        <v>1</v>
      </c>
      <c r="M319" s="9" t="n">
        <v>0</v>
      </c>
      <c r="N319" s="11" t="n">
        <v>1</v>
      </c>
      <c r="O319" s="11" t="n">
        <v>0.65</v>
      </c>
      <c r="P319" s="12"/>
      <c r="Q319" s="12"/>
      <c r="R319" s="12"/>
      <c r="S319" s="12"/>
      <c r="T319" s="9" t="s">
        <v>866</v>
      </c>
      <c r="U319" s="9" t="s">
        <v>873</v>
      </c>
    </row>
    <row r="320" customFormat="false" ht="15" hidden="false" customHeight="false" outlineLevel="0" collapsed="false">
      <c r="A320" s="7" t="s">
        <v>43</v>
      </c>
      <c r="B320" s="7" t="s">
        <v>874</v>
      </c>
      <c r="C320" s="8" t="s">
        <v>218</v>
      </c>
      <c r="D320" s="7" t="s">
        <v>875</v>
      </c>
      <c r="E320" s="7" t="n">
        <v>2103</v>
      </c>
      <c r="F320" s="9" t="s">
        <v>874</v>
      </c>
      <c r="G320" s="10" t="s">
        <v>876</v>
      </c>
      <c r="H320" s="9" t="s">
        <v>218</v>
      </c>
      <c r="I320" s="9" t="n">
        <v>49</v>
      </c>
      <c r="J320" s="9" t="n">
        <v>1107</v>
      </c>
      <c r="K320" s="11" t="n">
        <v>0.526</v>
      </c>
      <c r="L320" s="11" t="n">
        <v>1</v>
      </c>
      <c r="M320" s="9" t="n">
        <v>1</v>
      </c>
      <c r="N320" s="11" t="n">
        <v>0.833</v>
      </c>
      <c r="O320" s="11" t="n">
        <v>0.975</v>
      </c>
      <c r="P320" s="12"/>
      <c r="Q320" s="12"/>
      <c r="R320" s="12"/>
      <c r="S320" s="12"/>
      <c r="T320" s="9" t="s">
        <v>877</v>
      </c>
      <c r="U320" s="9" t="s">
        <v>876</v>
      </c>
    </row>
    <row r="321" customFormat="false" ht="15" hidden="false" customHeight="false" outlineLevel="0" collapsed="false">
      <c r="A321" s="9"/>
      <c r="B321" s="9"/>
      <c r="C321" s="9"/>
      <c r="D321" s="9"/>
      <c r="E321" s="9"/>
      <c r="F321" s="9" t="s">
        <v>878</v>
      </c>
      <c r="G321" s="10" t="s">
        <v>879</v>
      </c>
      <c r="H321" s="9" t="s">
        <v>571</v>
      </c>
      <c r="I321" s="9" t="n">
        <v>43</v>
      </c>
      <c r="J321" s="9" t="n">
        <v>908</v>
      </c>
      <c r="K321" s="11" t="n">
        <v>0.432</v>
      </c>
      <c r="L321" s="11" t="n">
        <v>1</v>
      </c>
      <c r="M321" s="9" t="n">
        <v>0.5</v>
      </c>
      <c r="N321" s="11" t="n">
        <v>0.842</v>
      </c>
      <c r="O321" s="11" t="n">
        <v>0.826</v>
      </c>
      <c r="P321" s="12"/>
      <c r="Q321" s="12"/>
      <c r="R321" s="12"/>
      <c r="S321" s="12"/>
      <c r="T321" s="9" t="s">
        <v>877</v>
      </c>
      <c r="U321" s="9" t="s">
        <v>879</v>
      </c>
    </row>
    <row r="322" customFormat="false" ht="15" hidden="false" customHeight="false" outlineLevel="0" collapsed="false">
      <c r="A322" s="9"/>
      <c r="B322" s="9"/>
      <c r="C322" s="9"/>
      <c r="D322" s="9"/>
      <c r="E322" s="9"/>
      <c r="F322" s="9" t="s">
        <v>880</v>
      </c>
      <c r="G322" s="10" t="s">
        <v>881</v>
      </c>
      <c r="H322" s="9" t="s">
        <v>882</v>
      </c>
      <c r="I322" s="9" t="n">
        <v>3</v>
      </c>
      <c r="J322" s="9" t="n">
        <v>647</v>
      </c>
      <c r="K322" s="11" t="n">
        <v>0.308</v>
      </c>
      <c r="L322" s="11" t="n">
        <v>1</v>
      </c>
      <c r="M322" s="9" t="n">
        <v>0</v>
      </c>
      <c r="N322" s="11" t="n">
        <v>0.5</v>
      </c>
      <c r="O322" s="11" t="n">
        <v>0.625</v>
      </c>
      <c r="P322" s="12"/>
      <c r="Q322" s="12"/>
      <c r="R322" s="12"/>
      <c r="S322" s="12"/>
      <c r="T322" s="9" t="s">
        <v>877</v>
      </c>
      <c r="U322" s="9" t="s">
        <v>881</v>
      </c>
    </row>
    <row r="323" customFormat="false" ht="15" hidden="false" customHeight="false" outlineLevel="0" collapsed="false">
      <c r="A323" s="9"/>
      <c r="B323" s="9"/>
      <c r="C323" s="9"/>
      <c r="D323" s="9"/>
      <c r="E323" s="9"/>
      <c r="F323" s="9" t="s">
        <v>883</v>
      </c>
      <c r="G323" s="10" t="s">
        <v>884</v>
      </c>
      <c r="H323" s="9"/>
      <c r="I323" s="9" t="n">
        <v>1</v>
      </c>
      <c r="J323" s="9" t="n">
        <v>22</v>
      </c>
      <c r="K323" s="11" t="n">
        <v>0.01</v>
      </c>
      <c r="L323" s="11" t="n">
        <v>1</v>
      </c>
      <c r="M323" s="9" t="n">
        <v>0</v>
      </c>
      <c r="N323" s="11" t="n">
        <v>1</v>
      </c>
      <c r="O323" s="11" t="n">
        <v>0.6</v>
      </c>
      <c r="P323" s="12"/>
      <c r="Q323" s="12"/>
      <c r="R323" s="12"/>
      <c r="S323" s="12"/>
      <c r="T323" s="9" t="s">
        <v>877</v>
      </c>
      <c r="U323" s="9" t="s">
        <v>884</v>
      </c>
    </row>
    <row r="324" customFormat="false" ht="15" hidden="false" customHeight="false" outlineLevel="0" collapsed="false">
      <c r="A324" s="9"/>
      <c r="B324" s="9"/>
      <c r="C324" s="9"/>
      <c r="D324" s="9"/>
      <c r="E324" s="9"/>
      <c r="F324" s="9" t="s">
        <v>885</v>
      </c>
      <c r="G324" s="10" t="s">
        <v>886</v>
      </c>
      <c r="H324" s="9" t="s">
        <v>68</v>
      </c>
      <c r="I324" s="9" t="n">
        <v>5</v>
      </c>
      <c r="J324" s="9" t="n">
        <v>96</v>
      </c>
      <c r="K324" s="11" t="n">
        <v>0.046</v>
      </c>
      <c r="L324" s="11" t="n">
        <v>0.712</v>
      </c>
      <c r="M324" s="9" t="n">
        <v>0.5</v>
      </c>
      <c r="N324" s="11" t="n">
        <v>0.5</v>
      </c>
      <c r="O324" s="11" t="n">
        <v>0.595</v>
      </c>
      <c r="P324" s="12"/>
      <c r="Q324" s="12"/>
      <c r="R324" s="12"/>
      <c r="S324" s="12"/>
      <c r="T324" s="9" t="s">
        <v>877</v>
      </c>
      <c r="U324" s="9" t="s">
        <v>886</v>
      </c>
    </row>
    <row r="325" customFormat="false" ht="15" hidden="false" customHeight="false" outlineLevel="0" collapsed="false">
      <c r="A325" s="7" t="s">
        <v>43</v>
      </c>
      <c r="B325" s="7" t="s">
        <v>887</v>
      </c>
      <c r="C325" s="8" t="s">
        <v>372</v>
      </c>
      <c r="D325" s="7" t="s">
        <v>888</v>
      </c>
      <c r="E325" s="7" t="n">
        <v>14200</v>
      </c>
      <c r="F325" s="9" t="s">
        <v>889</v>
      </c>
      <c r="G325" s="10" t="s">
        <v>890</v>
      </c>
      <c r="H325" s="9" t="s">
        <v>891</v>
      </c>
      <c r="I325" s="9" t="n">
        <v>313</v>
      </c>
      <c r="J325" s="9" t="n">
        <v>9549</v>
      </c>
      <c r="K325" s="11" t="n">
        <v>0.721</v>
      </c>
      <c r="L325" s="11" t="n">
        <v>1</v>
      </c>
      <c r="M325" s="9" t="n">
        <v>1</v>
      </c>
      <c r="N325" s="11" t="n">
        <v>0.787</v>
      </c>
      <c r="O325" s="11" t="n">
        <v>0.968</v>
      </c>
      <c r="P325" s="12"/>
      <c r="Q325" s="12"/>
      <c r="R325" s="12"/>
      <c r="S325" s="12"/>
      <c r="T325" s="9" t="s">
        <v>892</v>
      </c>
      <c r="U325" s="9" t="s">
        <v>890</v>
      </c>
    </row>
    <row r="326" customFormat="false" ht="15" hidden="false" customHeight="false" outlineLevel="0" collapsed="false">
      <c r="A326" s="9"/>
      <c r="B326" s="9"/>
      <c r="C326" s="9"/>
      <c r="D326" s="9"/>
      <c r="E326" s="9"/>
      <c r="F326" s="9" t="s">
        <v>887</v>
      </c>
      <c r="G326" s="10" t="s">
        <v>893</v>
      </c>
      <c r="H326" s="9" t="s">
        <v>372</v>
      </c>
      <c r="I326" s="9" t="n">
        <v>2</v>
      </c>
      <c r="J326" s="9" t="n">
        <v>96</v>
      </c>
      <c r="K326" s="11" t="n">
        <v>0.007</v>
      </c>
      <c r="L326" s="11" t="n">
        <v>1</v>
      </c>
      <c r="M326" s="9" t="n">
        <v>1</v>
      </c>
      <c r="N326" s="11" t="n">
        <v>0.667</v>
      </c>
      <c r="O326" s="11" t="n">
        <v>0.85</v>
      </c>
      <c r="P326" s="12"/>
      <c r="Q326" s="12"/>
      <c r="R326" s="12"/>
      <c r="S326" s="12"/>
      <c r="T326" s="9" t="s">
        <v>892</v>
      </c>
      <c r="U326" s="9" t="s">
        <v>893</v>
      </c>
    </row>
    <row r="327" customFormat="false" ht="15" hidden="false" customHeight="false" outlineLevel="0" collapsed="false">
      <c r="A327" s="9"/>
      <c r="B327" s="9"/>
      <c r="C327" s="9"/>
      <c r="D327" s="9"/>
      <c r="E327" s="9"/>
      <c r="F327" s="9" t="s">
        <v>887</v>
      </c>
      <c r="G327" s="10" t="s">
        <v>894</v>
      </c>
      <c r="H327" s="9" t="s">
        <v>895</v>
      </c>
      <c r="I327" s="9" t="n">
        <v>1</v>
      </c>
      <c r="J327" s="9" t="n">
        <v>75</v>
      </c>
      <c r="K327" s="11" t="n">
        <v>0.006</v>
      </c>
      <c r="L327" s="11" t="n">
        <v>1</v>
      </c>
      <c r="M327" s="9" t="n">
        <v>1</v>
      </c>
      <c r="N327" s="11" t="n">
        <v>0.667</v>
      </c>
      <c r="O327" s="11" t="n">
        <v>0.85</v>
      </c>
      <c r="P327" s="12"/>
      <c r="Q327" s="12"/>
      <c r="R327" s="12"/>
      <c r="S327" s="12"/>
      <c r="T327" s="9" t="s">
        <v>892</v>
      </c>
      <c r="U327" s="9" t="s">
        <v>894</v>
      </c>
    </row>
    <row r="328" customFormat="false" ht="15" hidden="false" customHeight="false" outlineLevel="0" collapsed="false">
      <c r="A328" s="9"/>
      <c r="B328" s="9"/>
      <c r="C328" s="9"/>
      <c r="D328" s="9"/>
      <c r="E328" s="9"/>
      <c r="F328" s="9" t="s">
        <v>887</v>
      </c>
      <c r="G328" s="10" t="s">
        <v>896</v>
      </c>
      <c r="H328" s="9" t="s">
        <v>891</v>
      </c>
      <c r="I328" s="9" t="n">
        <v>1</v>
      </c>
      <c r="J328" s="9" t="n">
        <v>0</v>
      </c>
      <c r="K328" s="11" t="n">
        <v>0</v>
      </c>
      <c r="L328" s="11" t="n">
        <v>1</v>
      </c>
      <c r="M328" s="9" t="n">
        <v>1</v>
      </c>
      <c r="N328" s="11" t="n">
        <v>0.667</v>
      </c>
      <c r="O328" s="11" t="n">
        <v>0.85</v>
      </c>
      <c r="P328" s="12"/>
      <c r="Q328" s="12"/>
      <c r="R328" s="12"/>
      <c r="S328" s="12"/>
      <c r="T328" s="9" t="s">
        <v>892</v>
      </c>
      <c r="U328" s="9" t="s">
        <v>896</v>
      </c>
    </row>
    <row r="329" customFormat="false" ht="15" hidden="false" customHeight="false" outlineLevel="0" collapsed="false">
      <c r="A329" s="9"/>
      <c r="B329" s="9"/>
      <c r="C329" s="9"/>
      <c r="D329" s="9"/>
      <c r="E329" s="9"/>
      <c r="F329" s="9" t="s">
        <v>897</v>
      </c>
      <c r="G329" s="10" t="s">
        <v>898</v>
      </c>
      <c r="H329" s="9"/>
      <c r="I329" s="9" t="n">
        <v>2</v>
      </c>
      <c r="J329" s="9" t="n">
        <v>0</v>
      </c>
      <c r="K329" s="11" t="n">
        <v>0</v>
      </c>
      <c r="L329" s="11" t="n">
        <v>1</v>
      </c>
      <c r="M329" s="9" t="n">
        <v>1</v>
      </c>
      <c r="N329" s="11" t="n">
        <v>0.2</v>
      </c>
      <c r="O329" s="11" t="n">
        <v>0.78</v>
      </c>
      <c r="P329" s="12"/>
      <c r="Q329" s="12"/>
      <c r="R329" s="12"/>
      <c r="S329" s="12"/>
      <c r="T329" s="9" t="s">
        <v>892</v>
      </c>
      <c r="U329" s="9" t="s">
        <v>898</v>
      </c>
    </row>
    <row r="330" customFormat="false" ht="15" hidden="false" customHeight="false" outlineLevel="0" collapsed="false">
      <c r="A330" s="7" t="s">
        <v>43</v>
      </c>
      <c r="B330" s="7" t="s">
        <v>899</v>
      </c>
      <c r="C330" s="8" t="s">
        <v>529</v>
      </c>
      <c r="D330" s="7" t="s">
        <v>900</v>
      </c>
      <c r="E330" s="7" t="n">
        <v>2159</v>
      </c>
      <c r="F330" s="9" t="s">
        <v>899</v>
      </c>
      <c r="G330" s="10" t="s">
        <v>901</v>
      </c>
      <c r="H330" s="9" t="s">
        <v>902</v>
      </c>
      <c r="I330" s="9" t="n">
        <v>261</v>
      </c>
      <c r="J330" s="9" t="n">
        <v>2702</v>
      </c>
      <c r="K330" s="11" t="n">
        <v>1.348</v>
      </c>
      <c r="L330" s="11" t="n">
        <v>1</v>
      </c>
      <c r="M330" s="9" t="n">
        <v>1</v>
      </c>
      <c r="N330" s="11" t="n">
        <v>1</v>
      </c>
      <c r="O330" s="11" t="n">
        <v>1</v>
      </c>
      <c r="P330" s="12"/>
      <c r="Q330" s="12"/>
      <c r="R330" s="12"/>
      <c r="S330" s="12"/>
      <c r="T330" s="9" t="s">
        <v>903</v>
      </c>
      <c r="U330" s="9" t="s">
        <v>901</v>
      </c>
    </row>
    <row r="331" customFormat="false" ht="15" hidden="false" customHeight="false" outlineLevel="0" collapsed="false">
      <c r="A331" s="9"/>
      <c r="B331" s="9"/>
      <c r="C331" s="9"/>
      <c r="D331" s="9"/>
      <c r="E331" s="9"/>
      <c r="F331" s="9" t="s">
        <v>899</v>
      </c>
      <c r="G331" s="10" t="s">
        <v>904</v>
      </c>
      <c r="H331" s="9" t="s">
        <v>529</v>
      </c>
      <c r="I331" s="9" t="n">
        <v>72</v>
      </c>
      <c r="J331" s="9" t="n">
        <v>1929</v>
      </c>
      <c r="K331" s="11" t="n">
        <v>0.962</v>
      </c>
      <c r="L331" s="11" t="n">
        <v>1</v>
      </c>
      <c r="M331" s="9" t="n">
        <v>1</v>
      </c>
      <c r="N331" s="11" t="n">
        <v>0.865</v>
      </c>
      <c r="O331" s="11" t="n">
        <v>0.98</v>
      </c>
      <c r="P331" s="12"/>
      <c r="Q331" s="12"/>
      <c r="R331" s="12"/>
      <c r="S331" s="12"/>
      <c r="T331" s="9" t="s">
        <v>903</v>
      </c>
      <c r="U331" s="9" t="s">
        <v>904</v>
      </c>
    </row>
    <row r="332" customFormat="false" ht="15" hidden="false" customHeight="false" outlineLevel="0" collapsed="false">
      <c r="A332" s="9"/>
      <c r="B332" s="9"/>
      <c r="C332" s="9"/>
      <c r="D332" s="9"/>
      <c r="E332" s="9"/>
      <c r="F332" s="9" t="s">
        <v>899</v>
      </c>
      <c r="G332" s="10" t="s">
        <v>905</v>
      </c>
      <c r="H332" s="9"/>
      <c r="I332" s="9" t="n">
        <v>39</v>
      </c>
      <c r="J332" s="9" t="n">
        <v>444</v>
      </c>
      <c r="K332" s="11" t="n">
        <v>0.221</v>
      </c>
      <c r="L332" s="11" t="n">
        <v>1</v>
      </c>
      <c r="M332" s="9" t="n">
        <v>0</v>
      </c>
      <c r="N332" s="11" t="n">
        <v>0.883</v>
      </c>
      <c r="O332" s="11" t="n">
        <v>0.682</v>
      </c>
      <c r="P332" s="12"/>
      <c r="Q332" s="12"/>
      <c r="R332" s="12"/>
      <c r="S332" s="12"/>
      <c r="T332" s="9" t="s">
        <v>903</v>
      </c>
      <c r="U332" s="9" t="s">
        <v>905</v>
      </c>
    </row>
    <row r="333" customFormat="false" ht="15" hidden="false" customHeight="false" outlineLevel="0" collapsed="false">
      <c r="A333" s="9"/>
      <c r="B333" s="9"/>
      <c r="C333" s="9"/>
      <c r="D333" s="9"/>
      <c r="E333" s="9"/>
      <c r="F333" s="9" t="s">
        <v>899</v>
      </c>
      <c r="G333" s="10" t="s">
        <v>906</v>
      </c>
      <c r="H333" s="9" t="s">
        <v>902</v>
      </c>
      <c r="I333" s="9" t="n">
        <v>176</v>
      </c>
      <c r="J333" s="9" t="n">
        <v>5248</v>
      </c>
      <c r="K333" s="11" t="n">
        <v>2.617</v>
      </c>
      <c r="L333" s="11" t="n">
        <v>1</v>
      </c>
      <c r="M333" s="9" t="n">
        <v>0</v>
      </c>
      <c r="N333" s="11" t="n">
        <v>0.933</v>
      </c>
      <c r="O333" s="11" t="n">
        <v>0.64</v>
      </c>
      <c r="P333" s="12"/>
      <c r="Q333" s="12"/>
      <c r="R333" s="12"/>
      <c r="S333" s="12"/>
      <c r="T333" s="9" t="s">
        <v>903</v>
      </c>
      <c r="U333" s="9" t="s">
        <v>906</v>
      </c>
    </row>
    <row r="334" customFormat="false" ht="15" hidden="false" customHeight="false" outlineLevel="0" collapsed="false">
      <c r="A334" s="9"/>
      <c r="B334" s="9"/>
      <c r="C334" s="9"/>
      <c r="D334" s="9"/>
      <c r="E334" s="9"/>
      <c r="F334" s="9" t="s">
        <v>899</v>
      </c>
      <c r="G334" s="10" t="s">
        <v>907</v>
      </c>
      <c r="H334" s="9"/>
      <c r="I334" s="9" t="n">
        <v>1</v>
      </c>
      <c r="J334" s="9" t="n">
        <v>7</v>
      </c>
      <c r="K334" s="11" t="n">
        <v>0.003</v>
      </c>
      <c r="L334" s="11" t="n">
        <v>1</v>
      </c>
      <c r="M334" s="9" t="n">
        <v>0</v>
      </c>
      <c r="N334" s="11" t="n">
        <v>1</v>
      </c>
      <c r="O334" s="11" t="n">
        <v>0.6</v>
      </c>
      <c r="P334" s="12"/>
      <c r="Q334" s="12"/>
      <c r="R334" s="12"/>
      <c r="S334" s="12"/>
      <c r="T334" s="9" t="s">
        <v>903</v>
      </c>
      <c r="U334" s="9" t="s">
        <v>907</v>
      </c>
    </row>
    <row r="335" customFormat="false" ht="15" hidden="false" customHeight="false" outlineLevel="0" collapsed="false">
      <c r="A335" s="7" t="s">
        <v>43</v>
      </c>
      <c r="B335" s="7" t="s">
        <v>908</v>
      </c>
      <c r="C335" s="8" t="s">
        <v>909</v>
      </c>
      <c r="D335" s="7" t="s">
        <v>910</v>
      </c>
      <c r="E335" s="7" t="n">
        <v>1613</v>
      </c>
      <c r="F335" s="9" t="s">
        <v>911</v>
      </c>
      <c r="G335" s="10" t="s">
        <v>912</v>
      </c>
      <c r="H335" s="9" t="s">
        <v>757</v>
      </c>
      <c r="I335" s="9" t="n">
        <v>46</v>
      </c>
      <c r="J335" s="9" t="n">
        <v>914</v>
      </c>
      <c r="K335" s="11" t="n">
        <v>0.636</v>
      </c>
      <c r="L335" s="11" t="n">
        <v>1</v>
      </c>
      <c r="M335" s="9" t="n">
        <v>1</v>
      </c>
      <c r="N335" s="11" t="n">
        <v>1</v>
      </c>
      <c r="O335" s="11" t="n">
        <v>1</v>
      </c>
      <c r="P335" s="12"/>
      <c r="Q335" s="12"/>
      <c r="R335" s="12"/>
      <c r="S335" s="12"/>
      <c r="T335" s="9" t="s">
        <v>913</v>
      </c>
      <c r="U335" s="9" t="s">
        <v>912</v>
      </c>
    </row>
    <row r="336" customFormat="false" ht="15" hidden="false" customHeight="false" outlineLevel="0" collapsed="false">
      <c r="A336" s="9"/>
      <c r="B336" s="9"/>
      <c r="C336" s="9"/>
      <c r="D336" s="9"/>
      <c r="E336" s="9"/>
      <c r="F336" s="9" t="s">
        <v>914</v>
      </c>
      <c r="G336" s="10" t="s">
        <v>915</v>
      </c>
      <c r="H336" s="9" t="s">
        <v>757</v>
      </c>
      <c r="I336" s="9" t="n">
        <v>5</v>
      </c>
      <c r="J336" s="9" t="n">
        <v>148</v>
      </c>
      <c r="K336" s="11" t="n">
        <v>0.103</v>
      </c>
      <c r="L336" s="11" t="n">
        <v>1</v>
      </c>
      <c r="M336" s="9" t="n">
        <v>1</v>
      </c>
      <c r="N336" s="11" t="n">
        <v>0.75</v>
      </c>
      <c r="O336" s="11" t="n">
        <v>0.963</v>
      </c>
      <c r="P336" s="12"/>
      <c r="Q336" s="12"/>
      <c r="R336" s="12"/>
      <c r="S336" s="12"/>
      <c r="T336" s="9" t="s">
        <v>913</v>
      </c>
      <c r="U336" s="9" t="s">
        <v>915</v>
      </c>
    </row>
    <row r="337" customFormat="false" ht="15" hidden="false" customHeight="false" outlineLevel="0" collapsed="false">
      <c r="A337" s="9"/>
      <c r="B337" s="9"/>
      <c r="C337" s="9"/>
      <c r="D337" s="9"/>
      <c r="E337" s="9"/>
      <c r="F337" s="9" t="s">
        <v>916</v>
      </c>
      <c r="G337" s="10" t="s">
        <v>917</v>
      </c>
      <c r="H337" s="9" t="s">
        <v>757</v>
      </c>
      <c r="I337" s="9" t="n">
        <v>3</v>
      </c>
      <c r="J337" s="9" t="n">
        <v>18</v>
      </c>
      <c r="K337" s="11" t="n">
        <v>0.013</v>
      </c>
      <c r="L337" s="11" t="n">
        <v>1</v>
      </c>
      <c r="M337" s="9" t="n">
        <v>1</v>
      </c>
      <c r="N337" s="11" t="n">
        <v>1</v>
      </c>
      <c r="O337" s="11" t="n">
        <v>0.9</v>
      </c>
      <c r="P337" s="12"/>
      <c r="Q337" s="12"/>
      <c r="R337" s="12"/>
      <c r="S337" s="12"/>
      <c r="T337" s="9" t="s">
        <v>913</v>
      </c>
      <c r="U337" s="9" t="s">
        <v>917</v>
      </c>
    </row>
    <row r="338" customFormat="false" ht="15" hidden="false" customHeight="false" outlineLevel="0" collapsed="false">
      <c r="A338" s="9"/>
      <c r="B338" s="9"/>
      <c r="C338" s="9"/>
      <c r="D338" s="9"/>
      <c r="E338" s="9"/>
      <c r="F338" s="9" t="s">
        <v>914</v>
      </c>
      <c r="G338" s="10" t="s">
        <v>918</v>
      </c>
      <c r="H338" s="9" t="s">
        <v>757</v>
      </c>
      <c r="I338" s="9" t="n">
        <v>1</v>
      </c>
      <c r="J338" s="9" t="n">
        <v>0</v>
      </c>
      <c r="K338" s="11" t="n">
        <v>0</v>
      </c>
      <c r="L338" s="11" t="n">
        <v>1</v>
      </c>
      <c r="M338" s="9" t="n">
        <v>1</v>
      </c>
      <c r="N338" s="11" t="n">
        <v>1</v>
      </c>
      <c r="O338" s="11" t="n">
        <v>0.9</v>
      </c>
      <c r="P338" s="12"/>
      <c r="Q338" s="12"/>
      <c r="R338" s="12"/>
      <c r="S338" s="12"/>
      <c r="T338" s="9" t="s">
        <v>913</v>
      </c>
      <c r="U338" s="9" t="s">
        <v>918</v>
      </c>
    </row>
    <row r="339" customFormat="false" ht="15" hidden="false" customHeight="false" outlineLevel="0" collapsed="false">
      <c r="A339" s="9"/>
      <c r="B339" s="9"/>
      <c r="C339" s="9"/>
      <c r="D339" s="9"/>
      <c r="E339" s="9"/>
      <c r="F339" s="9" t="s">
        <v>908</v>
      </c>
      <c r="G339" s="10" t="s">
        <v>919</v>
      </c>
      <c r="H339" s="9" t="s">
        <v>757</v>
      </c>
      <c r="I339" s="9" t="n">
        <v>15</v>
      </c>
      <c r="J339" s="9" t="n">
        <v>16</v>
      </c>
      <c r="K339" s="11" t="n">
        <v>0.011</v>
      </c>
      <c r="L339" s="11" t="n">
        <v>1</v>
      </c>
      <c r="M339" s="9" t="n">
        <v>1</v>
      </c>
      <c r="N339" s="11" t="n">
        <v>0.667</v>
      </c>
      <c r="O339" s="11" t="n">
        <v>0.85</v>
      </c>
      <c r="P339" s="12"/>
      <c r="Q339" s="12"/>
      <c r="R339" s="12"/>
      <c r="S339" s="12"/>
      <c r="T339" s="9" t="s">
        <v>913</v>
      </c>
      <c r="U339" s="9" t="s">
        <v>919</v>
      </c>
    </row>
    <row r="340" customFormat="false" ht="15" hidden="false" customHeight="false" outlineLevel="0" collapsed="false">
      <c r="A340" s="7" t="s">
        <v>43</v>
      </c>
      <c r="B340" s="7" t="s">
        <v>920</v>
      </c>
      <c r="C340" s="8" t="s">
        <v>921</v>
      </c>
      <c r="D340" s="7" t="s">
        <v>922</v>
      </c>
      <c r="E340" s="7" t="n">
        <v>437</v>
      </c>
      <c r="F340" s="9" t="s">
        <v>923</v>
      </c>
      <c r="G340" s="10" t="s">
        <v>924</v>
      </c>
      <c r="H340" s="9"/>
      <c r="I340" s="9" t="n">
        <v>28</v>
      </c>
      <c r="J340" s="9" t="n">
        <v>155</v>
      </c>
      <c r="K340" s="11" t="n">
        <v>0.376</v>
      </c>
      <c r="L340" s="11" t="n">
        <v>1</v>
      </c>
      <c r="M340" s="9" t="n">
        <v>1</v>
      </c>
      <c r="N340" s="11" t="n">
        <v>0.688</v>
      </c>
      <c r="O340" s="11" t="n">
        <v>0.953</v>
      </c>
      <c r="P340" s="12"/>
      <c r="Q340" s="12"/>
      <c r="R340" s="12"/>
      <c r="S340" s="12"/>
      <c r="T340" s="9" t="s">
        <v>925</v>
      </c>
      <c r="U340" s="9" t="s">
        <v>924</v>
      </c>
    </row>
    <row r="341" customFormat="false" ht="15" hidden="false" customHeight="false" outlineLevel="0" collapsed="false">
      <c r="A341" s="9"/>
      <c r="B341" s="9"/>
      <c r="C341" s="9"/>
      <c r="D341" s="9"/>
      <c r="E341" s="9"/>
      <c r="F341" s="9" t="s">
        <v>926</v>
      </c>
      <c r="G341" s="10" t="s">
        <v>927</v>
      </c>
      <c r="H341" s="9" t="s">
        <v>928</v>
      </c>
      <c r="I341" s="9" t="n">
        <v>26</v>
      </c>
      <c r="J341" s="9" t="n">
        <v>179</v>
      </c>
      <c r="K341" s="11" t="n">
        <v>0.434</v>
      </c>
      <c r="L341" s="11" t="n">
        <v>1</v>
      </c>
      <c r="M341" s="9" t="n">
        <v>1</v>
      </c>
      <c r="N341" s="11" t="n">
        <v>0.424</v>
      </c>
      <c r="O341" s="11" t="n">
        <v>0.914</v>
      </c>
      <c r="P341" s="12"/>
      <c r="Q341" s="12"/>
      <c r="R341" s="12"/>
      <c r="S341" s="12"/>
      <c r="T341" s="9" t="s">
        <v>925</v>
      </c>
      <c r="U341" s="9" t="s">
        <v>927</v>
      </c>
    </row>
    <row r="342" customFormat="false" ht="15" hidden="false" customHeight="false" outlineLevel="0" collapsed="false">
      <c r="A342" s="9"/>
      <c r="B342" s="9"/>
      <c r="C342" s="9"/>
      <c r="D342" s="9"/>
      <c r="E342" s="9"/>
      <c r="F342" s="9" t="s">
        <v>920</v>
      </c>
      <c r="G342" s="10" t="s">
        <v>929</v>
      </c>
      <c r="H342" s="9"/>
      <c r="I342" s="9" t="n">
        <v>1</v>
      </c>
      <c r="J342" s="9" t="n">
        <v>10</v>
      </c>
      <c r="K342" s="11" t="n">
        <v>0.024</v>
      </c>
      <c r="L342" s="11" t="n">
        <v>1</v>
      </c>
      <c r="M342" s="9" t="n">
        <v>0</v>
      </c>
      <c r="N342" s="11" t="n">
        <v>1</v>
      </c>
      <c r="O342" s="11" t="n">
        <v>0.6</v>
      </c>
      <c r="P342" s="12"/>
      <c r="Q342" s="12"/>
      <c r="R342" s="12"/>
      <c r="S342" s="12"/>
      <c r="T342" s="9" t="s">
        <v>925</v>
      </c>
      <c r="U342" s="9" t="s">
        <v>929</v>
      </c>
    </row>
    <row r="343" customFormat="false" ht="15" hidden="false" customHeight="false" outlineLevel="0" collapsed="false">
      <c r="A343" s="9"/>
      <c r="B343" s="9"/>
      <c r="C343" s="9"/>
      <c r="D343" s="9"/>
      <c r="E343" s="9"/>
      <c r="F343" s="9" t="s">
        <v>930</v>
      </c>
      <c r="G343" s="10" t="s">
        <v>931</v>
      </c>
      <c r="H343" s="9"/>
      <c r="I343" s="9" t="n">
        <v>1</v>
      </c>
      <c r="J343" s="9" t="n">
        <v>0</v>
      </c>
      <c r="K343" s="11" t="n">
        <v>0</v>
      </c>
      <c r="L343" s="11" t="n">
        <v>1</v>
      </c>
      <c r="M343" s="9" t="n">
        <v>0</v>
      </c>
      <c r="N343" s="11" t="n">
        <v>1</v>
      </c>
      <c r="O343" s="11" t="n">
        <v>0.6</v>
      </c>
      <c r="P343" s="12"/>
      <c r="Q343" s="12"/>
      <c r="R343" s="12"/>
      <c r="S343" s="12"/>
      <c r="T343" s="9" t="s">
        <v>925</v>
      </c>
      <c r="U343" s="9" t="s">
        <v>931</v>
      </c>
    </row>
    <row r="344" customFormat="false" ht="15" hidden="false" customHeight="false" outlineLevel="0" collapsed="false">
      <c r="A344" s="9"/>
      <c r="B344" s="9"/>
      <c r="C344" s="9"/>
      <c r="D344" s="9"/>
      <c r="E344" s="9"/>
      <c r="F344" s="9" t="s">
        <v>926</v>
      </c>
      <c r="G344" s="10" t="s">
        <v>932</v>
      </c>
      <c r="H344" s="9" t="s">
        <v>933</v>
      </c>
      <c r="I344" s="9" t="n">
        <v>1</v>
      </c>
      <c r="J344" s="9" t="n">
        <v>0</v>
      </c>
      <c r="K344" s="11" t="n">
        <v>0</v>
      </c>
      <c r="L344" s="11" t="n">
        <v>1</v>
      </c>
      <c r="M344" s="9" t="n">
        <v>0</v>
      </c>
      <c r="N344" s="11" t="n">
        <v>0.667</v>
      </c>
      <c r="O344" s="11" t="n">
        <v>0.55</v>
      </c>
      <c r="P344" s="12"/>
      <c r="Q344" s="12"/>
      <c r="R344" s="12"/>
      <c r="S344" s="12"/>
      <c r="T344" s="9" t="s">
        <v>925</v>
      </c>
      <c r="U344" s="9" t="s">
        <v>932</v>
      </c>
    </row>
    <row r="345" customFormat="false" ht="15" hidden="false" customHeight="false" outlineLevel="0" collapsed="false">
      <c r="A345" s="7" t="s">
        <v>43</v>
      </c>
      <c r="B345" s="7" t="s">
        <v>934</v>
      </c>
      <c r="C345" s="8" t="s">
        <v>935</v>
      </c>
      <c r="D345" s="7" t="s">
        <v>936</v>
      </c>
      <c r="E345" s="7" t="n">
        <v>3743</v>
      </c>
      <c r="F345" s="9" t="s">
        <v>934</v>
      </c>
      <c r="G345" s="10" t="s">
        <v>937</v>
      </c>
      <c r="H345" s="9" t="s">
        <v>938</v>
      </c>
      <c r="I345" s="9" t="n">
        <v>217</v>
      </c>
      <c r="J345" s="9" t="n">
        <v>3581</v>
      </c>
      <c r="K345" s="11" t="n">
        <v>1.015</v>
      </c>
      <c r="L345" s="11" t="n">
        <v>1</v>
      </c>
      <c r="M345" s="9" t="n">
        <v>1</v>
      </c>
      <c r="N345" s="11" t="n">
        <v>1</v>
      </c>
      <c r="O345" s="11" t="n">
        <v>1</v>
      </c>
      <c r="P345" s="12"/>
      <c r="Q345" s="12"/>
      <c r="R345" s="12"/>
      <c r="S345" s="12"/>
      <c r="T345" s="9" t="s">
        <v>939</v>
      </c>
      <c r="U345" s="9" t="s">
        <v>937</v>
      </c>
    </row>
    <row r="346" customFormat="false" ht="15" hidden="false" customHeight="false" outlineLevel="0" collapsed="false">
      <c r="A346" s="9"/>
      <c r="B346" s="9"/>
      <c r="C346" s="9"/>
      <c r="D346" s="9"/>
      <c r="E346" s="9"/>
      <c r="F346" s="9" t="s">
        <v>934</v>
      </c>
      <c r="G346" s="10" t="s">
        <v>940</v>
      </c>
      <c r="H346" s="9" t="s">
        <v>941</v>
      </c>
      <c r="I346" s="9" t="n">
        <v>149</v>
      </c>
      <c r="J346" s="9" t="n">
        <v>1779</v>
      </c>
      <c r="K346" s="11" t="n">
        <v>0.504</v>
      </c>
      <c r="L346" s="11" t="n">
        <v>1</v>
      </c>
      <c r="M346" s="9" t="n">
        <v>1</v>
      </c>
      <c r="N346" s="11" t="n">
        <v>0.366</v>
      </c>
      <c r="O346" s="11" t="n">
        <v>0.905</v>
      </c>
      <c r="P346" s="12"/>
      <c r="Q346" s="12"/>
      <c r="R346" s="12"/>
      <c r="S346" s="12"/>
      <c r="T346" s="9" t="s">
        <v>939</v>
      </c>
      <c r="U346" s="9" t="s">
        <v>940</v>
      </c>
    </row>
    <row r="347" customFormat="false" ht="15" hidden="false" customHeight="false" outlineLevel="0" collapsed="false">
      <c r="A347" s="9"/>
      <c r="B347" s="9"/>
      <c r="C347" s="9"/>
      <c r="D347" s="9"/>
      <c r="E347" s="9"/>
      <c r="F347" s="9" t="s">
        <v>942</v>
      </c>
      <c r="G347" s="10" t="s">
        <v>943</v>
      </c>
      <c r="H347" s="9" t="s">
        <v>944</v>
      </c>
      <c r="I347" s="9" t="n">
        <v>1</v>
      </c>
      <c r="J347" s="9" t="n">
        <v>11</v>
      </c>
      <c r="K347" s="11" t="n">
        <v>0.003</v>
      </c>
      <c r="L347" s="11" t="n">
        <v>1</v>
      </c>
      <c r="M347" s="9" t="n">
        <v>0</v>
      </c>
      <c r="N347" s="11" t="n">
        <v>1</v>
      </c>
      <c r="O347" s="11" t="n">
        <v>0.6</v>
      </c>
      <c r="P347" s="12"/>
      <c r="Q347" s="12"/>
      <c r="R347" s="12"/>
      <c r="S347" s="12"/>
      <c r="T347" s="9" t="s">
        <v>939</v>
      </c>
      <c r="U347" s="9" t="s">
        <v>943</v>
      </c>
    </row>
    <row r="348" customFormat="false" ht="15" hidden="false" customHeight="false" outlineLevel="0" collapsed="false">
      <c r="A348" s="9"/>
      <c r="B348" s="9"/>
      <c r="C348" s="9"/>
      <c r="D348" s="9"/>
      <c r="E348" s="9"/>
      <c r="F348" s="9" t="s">
        <v>934</v>
      </c>
      <c r="G348" s="10" t="s">
        <v>945</v>
      </c>
      <c r="H348" s="9"/>
      <c r="I348" s="9" t="n">
        <v>1</v>
      </c>
      <c r="J348" s="9" t="n">
        <v>0</v>
      </c>
      <c r="K348" s="11" t="n">
        <v>0</v>
      </c>
      <c r="L348" s="11" t="n">
        <v>1</v>
      </c>
      <c r="M348" s="9" t="n">
        <v>0</v>
      </c>
      <c r="N348" s="11" t="n">
        <v>1</v>
      </c>
      <c r="O348" s="11" t="n">
        <v>0.6</v>
      </c>
      <c r="P348" s="12"/>
      <c r="Q348" s="12"/>
      <c r="R348" s="12"/>
      <c r="S348" s="12"/>
      <c r="T348" s="9" t="s">
        <v>939</v>
      </c>
      <c r="U348" s="9" t="s">
        <v>945</v>
      </c>
    </row>
    <row r="349" customFormat="false" ht="15" hidden="false" customHeight="false" outlineLevel="0" collapsed="false">
      <c r="A349" s="9"/>
      <c r="B349" s="9"/>
      <c r="C349" s="9"/>
      <c r="D349" s="9"/>
      <c r="E349" s="9"/>
      <c r="F349" s="9" t="s">
        <v>934</v>
      </c>
      <c r="G349" s="10" t="s">
        <v>946</v>
      </c>
      <c r="H349" s="9" t="s">
        <v>938</v>
      </c>
      <c r="I349" s="9" t="n">
        <v>4</v>
      </c>
      <c r="J349" s="9" t="n">
        <v>0</v>
      </c>
      <c r="K349" s="11" t="n">
        <v>0</v>
      </c>
      <c r="L349" s="11" t="n">
        <v>1</v>
      </c>
      <c r="M349" s="9" t="n">
        <v>0</v>
      </c>
      <c r="N349" s="11" t="n">
        <v>1</v>
      </c>
      <c r="O349" s="11" t="n">
        <v>0.6</v>
      </c>
      <c r="P349" s="12"/>
      <c r="Q349" s="12"/>
      <c r="R349" s="12"/>
      <c r="S349" s="12"/>
      <c r="T349" s="9" t="s">
        <v>939</v>
      </c>
      <c r="U349" s="9" t="s">
        <v>946</v>
      </c>
    </row>
    <row r="350" customFormat="false" ht="15" hidden="false" customHeight="false" outlineLevel="0" collapsed="false">
      <c r="A350" s="7" t="s">
        <v>43</v>
      </c>
      <c r="B350" s="7" t="s">
        <v>947</v>
      </c>
      <c r="C350" s="8" t="s">
        <v>188</v>
      </c>
      <c r="D350" s="7" t="s">
        <v>948</v>
      </c>
      <c r="E350" s="7" t="n">
        <v>4790</v>
      </c>
      <c r="F350" s="9" t="s">
        <v>949</v>
      </c>
      <c r="G350" s="10" t="s">
        <v>950</v>
      </c>
      <c r="H350" s="9" t="s">
        <v>188</v>
      </c>
      <c r="I350" s="9" t="n">
        <v>139</v>
      </c>
      <c r="J350" s="9" t="n">
        <v>3496</v>
      </c>
      <c r="K350" s="11" t="n">
        <v>0.73</v>
      </c>
      <c r="L350" s="11" t="n">
        <v>1</v>
      </c>
      <c r="M350" s="9" t="n">
        <v>1</v>
      </c>
      <c r="N350" s="11" t="n">
        <v>1</v>
      </c>
      <c r="O350" s="11" t="n">
        <v>1</v>
      </c>
      <c r="P350" s="12"/>
      <c r="Q350" s="12"/>
      <c r="R350" s="12"/>
      <c r="S350" s="12"/>
      <c r="T350" s="9" t="s">
        <v>951</v>
      </c>
      <c r="U350" s="9" t="s">
        <v>950</v>
      </c>
    </row>
    <row r="351" customFormat="false" ht="15" hidden="false" customHeight="false" outlineLevel="0" collapsed="false">
      <c r="A351" s="9"/>
      <c r="B351" s="9"/>
      <c r="C351" s="9"/>
      <c r="D351" s="9"/>
      <c r="E351" s="9"/>
      <c r="F351" s="9" t="s">
        <v>952</v>
      </c>
      <c r="G351" s="10" t="s">
        <v>953</v>
      </c>
      <c r="H351" s="9" t="s">
        <v>954</v>
      </c>
      <c r="I351" s="9" t="n">
        <v>228</v>
      </c>
      <c r="J351" s="9" t="n">
        <v>8246</v>
      </c>
      <c r="K351" s="11" t="n">
        <v>1.722</v>
      </c>
      <c r="L351" s="11" t="n">
        <v>1</v>
      </c>
      <c r="M351" s="9" t="n">
        <v>1</v>
      </c>
      <c r="N351" s="11" t="n">
        <v>0.363</v>
      </c>
      <c r="O351" s="11" t="n">
        <v>0.854</v>
      </c>
      <c r="P351" s="12"/>
      <c r="Q351" s="12"/>
      <c r="R351" s="12"/>
      <c r="S351" s="12"/>
      <c r="T351" s="9" t="s">
        <v>951</v>
      </c>
      <c r="U351" s="9" t="s">
        <v>953</v>
      </c>
    </row>
    <row r="352" customFormat="false" ht="15" hidden="false" customHeight="false" outlineLevel="0" collapsed="false">
      <c r="A352" s="9"/>
      <c r="B352" s="9"/>
      <c r="C352" s="9"/>
      <c r="D352" s="9"/>
      <c r="E352" s="9"/>
      <c r="F352" s="9" t="s">
        <v>947</v>
      </c>
      <c r="G352" s="10" t="s">
        <v>955</v>
      </c>
      <c r="H352" s="9" t="s">
        <v>956</v>
      </c>
      <c r="I352" s="9" t="n">
        <v>92</v>
      </c>
      <c r="J352" s="9" t="n">
        <v>390</v>
      </c>
      <c r="K352" s="11" t="n">
        <v>0.081</v>
      </c>
      <c r="L352" s="11" t="n">
        <v>1</v>
      </c>
      <c r="M352" s="9" t="n">
        <v>0</v>
      </c>
      <c r="N352" s="11" t="n">
        <v>1</v>
      </c>
      <c r="O352" s="11" t="n">
        <v>0.65</v>
      </c>
      <c r="P352" s="12"/>
      <c r="Q352" s="12"/>
      <c r="R352" s="12"/>
      <c r="S352" s="12"/>
      <c r="T352" s="9" t="s">
        <v>951</v>
      </c>
      <c r="U352" s="9" t="s">
        <v>955</v>
      </c>
    </row>
    <row r="353" customFormat="false" ht="15" hidden="false" customHeight="false" outlineLevel="0" collapsed="false">
      <c r="A353" s="9"/>
      <c r="B353" s="9"/>
      <c r="C353" s="9"/>
      <c r="D353" s="9"/>
      <c r="E353" s="9"/>
      <c r="F353" s="9" t="s">
        <v>957</v>
      </c>
      <c r="G353" s="10" t="s">
        <v>958</v>
      </c>
      <c r="H353" s="9"/>
      <c r="I353" s="9" t="n">
        <v>9</v>
      </c>
      <c r="J353" s="9" t="n">
        <v>175</v>
      </c>
      <c r="K353" s="11" t="n">
        <v>0.037</v>
      </c>
      <c r="L353" s="11" t="n">
        <v>1</v>
      </c>
      <c r="M353" s="9" t="n">
        <v>0</v>
      </c>
      <c r="N353" s="11" t="n">
        <v>0.933</v>
      </c>
      <c r="O353" s="11" t="n">
        <v>0.64</v>
      </c>
      <c r="P353" s="12"/>
      <c r="Q353" s="12"/>
      <c r="R353" s="12"/>
      <c r="S353" s="12"/>
      <c r="T353" s="9" t="s">
        <v>951</v>
      </c>
      <c r="U353" s="9" t="s">
        <v>958</v>
      </c>
    </row>
    <row r="354" customFormat="false" ht="15" hidden="false" customHeight="false" outlineLevel="0" collapsed="false">
      <c r="A354" s="9"/>
      <c r="B354" s="9"/>
      <c r="C354" s="9"/>
      <c r="D354" s="9"/>
      <c r="E354" s="9"/>
      <c r="F354" s="9" t="s">
        <v>947</v>
      </c>
      <c r="G354" s="10" t="s">
        <v>959</v>
      </c>
      <c r="H354" s="9" t="s">
        <v>960</v>
      </c>
      <c r="I354" s="9" t="n">
        <v>17</v>
      </c>
      <c r="J354" s="9" t="n">
        <v>760</v>
      </c>
      <c r="K354" s="11" t="n">
        <v>0.159</v>
      </c>
      <c r="L354" s="11" t="n">
        <v>1</v>
      </c>
      <c r="M354" s="9" t="n">
        <v>0</v>
      </c>
      <c r="N354" s="11" t="n">
        <v>0.438</v>
      </c>
      <c r="O354" s="11" t="n">
        <v>0.616</v>
      </c>
      <c r="P354" s="12"/>
      <c r="Q354" s="12"/>
      <c r="R354" s="12"/>
      <c r="S354" s="12"/>
      <c r="T354" s="9" t="s">
        <v>951</v>
      </c>
      <c r="U354" s="9" t="s">
        <v>959</v>
      </c>
    </row>
    <row r="355" customFormat="false" ht="15" hidden="false" customHeight="false" outlineLevel="0" collapsed="false">
      <c r="A355" s="7" t="s">
        <v>43</v>
      </c>
      <c r="B355" s="7" t="s">
        <v>961</v>
      </c>
      <c r="C355" s="8" t="s">
        <v>962</v>
      </c>
      <c r="D355" s="7" t="s">
        <v>963</v>
      </c>
      <c r="E355" s="7" t="n">
        <v>4273</v>
      </c>
      <c r="F355" s="9" t="s">
        <v>964</v>
      </c>
      <c r="G355" s="10" t="s">
        <v>965</v>
      </c>
      <c r="H355" s="9" t="s">
        <v>966</v>
      </c>
      <c r="I355" s="9" t="n">
        <v>205</v>
      </c>
      <c r="J355" s="9" t="n">
        <v>4357</v>
      </c>
      <c r="K355" s="11" t="n">
        <v>1.095</v>
      </c>
      <c r="L355" s="11" t="n">
        <v>1</v>
      </c>
      <c r="M355" s="9" t="n">
        <v>1</v>
      </c>
      <c r="N355" s="11" t="n">
        <v>0.68</v>
      </c>
      <c r="O355" s="11" t="n">
        <v>0.952</v>
      </c>
      <c r="P355" s="12"/>
      <c r="Q355" s="12"/>
      <c r="R355" s="12"/>
      <c r="S355" s="12"/>
      <c r="T355" s="9" t="s">
        <v>967</v>
      </c>
      <c r="U355" s="9" t="s">
        <v>965</v>
      </c>
    </row>
    <row r="356" customFormat="false" ht="15" hidden="false" customHeight="false" outlineLevel="0" collapsed="false">
      <c r="A356" s="9"/>
      <c r="B356" s="9"/>
      <c r="C356" s="9"/>
      <c r="D356" s="9"/>
      <c r="E356" s="9"/>
      <c r="F356" s="9" t="s">
        <v>961</v>
      </c>
      <c r="G356" s="10" t="s">
        <v>968</v>
      </c>
      <c r="H356" s="9" t="s">
        <v>969</v>
      </c>
      <c r="I356" s="9" t="n">
        <v>23</v>
      </c>
      <c r="J356" s="9" t="n">
        <v>541</v>
      </c>
      <c r="K356" s="11" t="n">
        <v>0.136</v>
      </c>
      <c r="L356" s="11" t="n">
        <v>1</v>
      </c>
      <c r="M356" s="9" t="n">
        <v>1</v>
      </c>
      <c r="N356" s="11" t="n">
        <v>0</v>
      </c>
      <c r="O356" s="11" t="n">
        <v>0.85</v>
      </c>
      <c r="P356" s="12"/>
      <c r="Q356" s="12"/>
      <c r="R356" s="12"/>
      <c r="S356" s="12"/>
      <c r="T356" s="9" t="s">
        <v>967</v>
      </c>
      <c r="U356" s="9" t="s">
        <v>968</v>
      </c>
    </row>
    <row r="357" customFormat="false" ht="15" hidden="false" customHeight="false" outlineLevel="0" collapsed="false">
      <c r="A357" s="9"/>
      <c r="B357" s="9"/>
      <c r="C357" s="9"/>
      <c r="D357" s="9"/>
      <c r="E357" s="9"/>
      <c r="F357" s="9" t="s">
        <v>961</v>
      </c>
      <c r="G357" s="10" t="s">
        <v>970</v>
      </c>
      <c r="H357" s="9" t="s">
        <v>971</v>
      </c>
      <c r="I357" s="9" t="n">
        <v>118</v>
      </c>
      <c r="J357" s="9" t="n">
        <v>1621</v>
      </c>
      <c r="K357" s="11" t="n">
        <v>0.407</v>
      </c>
      <c r="L357" s="11" t="n">
        <v>1</v>
      </c>
      <c r="M357" s="9" t="n">
        <v>0</v>
      </c>
      <c r="N357" s="11" t="n">
        <v>1</v>
      </c>
      <c r="O357" s="11" t="n">
        <v>0.7</v>
      </c>
      <c r="P357" s="12"/>
      <c r="Q357" s="12"/>
      <c r="R357" s="12"/>
      <c r="S357" s="12"/>
      <c r="T357" s="9" t="s">
        <v>967</v>
      </c>
      <c r="U357" s="9" t="s">
        <v>970</v>
      </c>
    </row>
    <row r="358" customFormat="false" ht="15" hidden="false" customHeight="false" outlineLevel="0" collapsed="false">
      <c r="A358" s="9"/>
      <c r="B358" s="9"/>
      <c r="C358" s="9"/>
      <c r="D358" s="9"/>
      <c r="E358" s="9"/>
      <c r="F358" s="9" t="s">
        <v>972</v>
      </c>
      <c r="G358" s="10" t="s">
        <v>973</v>
      </c>
      <c r="H358" s="9"/>
      <c r="I358" s="9" t="n">
        <v>73</v>
      </c>
      <c r="J358" s="9" t="n">
        <v>704</v>
      </c>
      <c r="K358" s="11" t="n">
        <v>0.177</v>
      </c>
      <c r="L358" s="11" t="n">
        <v>1</v>
      </c>
      <c r="M358" s="9" t="n">
        <v>0</v>
      </c>
      <c r="N358" s="11" t="n">
        <v>0.81</v>
      </c>
      <c r="O358" s="11" t="n">
        <v>0.671</v>
      </c>
      <c r="P358" s="12"/>
      <c r="Q358" s="12"/>
      <c r="R358" s="12"/>
      <c r="S358" s="12"/>
      <c r="T358" s="9" t="s">
        <v>967</v>
      </c>
      <c r="U358" s="9" t="s">
        <v>973</v>
      </c>
    </row>
    <row r="359" customFormat="false" ht="15" hidden="false" customHeight="false" outlineLevel="0" collapsed="false">
      <c r="A359" s="9"/>
      <c r="B359" s="9"/>
      <c r="C359" s="9"/>
      <c r="D359" s="9"/>
      <c r="E359" s="9"/>
      <c r="F359" s="9" t="s">
        <v>964</v>
      </c>
      <c r="G359" s="10" t="s">
        <v>974</v>
      </c>
      <c r="H359" s="9"/>
      <c r="I359" s="9" t="n">
        <v>26</v>
      </c>
      <c r="J359" s="9" t="n">
        <v>520</v>
      </c>
      <c r="K359" s="11" t="n">
        <v>0.131</v>
      </c>
      <c r="L359" s="11" t="n">
        <v>1</v>
      </c>
      <c r="M359" s="9" t="n">
        <v>0</v>
      </c>
      <c r="N359" s="11" t="n">
        <v>0.571</v>
      </c>
      <c r="O359" s="11" t="n">
        <v>0.636</v>
      </c>
      <c r="P359" s="12"/>
      <c r="Q359" s="12"/>
      <c r="R359" s="12"/>
      <c r="S359" s="12"/>
      <c r="T359" s="9" t="s">
        <v>967</v>
      </c>
      <c r="U359" s="9" t="s">
        <v>974</v>
      </c>
    </row>
    <row r="360" customFormat="false" ht="15" hidden="false" customHeight="false" outlineLevel="0" collapsed="false">
      <c r="A360" s="7" t="s">
        <v>43</v>
      </c>
      <c r="B360" s="7" t="s">
        <v>975</v>
      </c>
      <c r="C360" s="8" t="s">
        <v>333</v>
      </c>
      <c r="D360" s="7" t="s">
        <v>976</v>
      </c>
      <c r="E360" s="7" t="n">
        <v>3419</v>
      </c>
      <c r="F360" s="9" t="s">
        <v>975</v>
      </c>
      <c r="G360" s="10" t="s">
        <v>977</v>
      </c>
      <c r="H360" s="9" t="s">
        <v>333</v>
      </c>
      <c r="I360" s="9" t="n">
        <v>44</v>
      </c>
      <c r="J360" s="9" t="n">
        <v>1258</v>
      </c>
      <c r="K360" s="11" t="n">
        <v>0.387</v>
      </c>
      <c r="L360" s="11" t="n">
        <v>1</v>
      </c>
      <c r="M360" s="9" t="n">
        <v>1</v>
      </c>
      <c r="N360" s="11" t="n">
        <v>1</v>
      </c>
      <c r="O360" s="11" t="n">
        <v>1</v>
      </c>
      <c r="P360" s="12"/>
      <c r="Q360" s="12"/>
      <c r="R360" s="12"/>
      <c r="S360" s="12"/>
      <c r="T360" s="9" t="s">
        <v>978</v>
      </c>
      <c r="U360" s="9" t="s">
        <v>977</v>
      </c>
    </row>
    <row r="361" customFormat="false" ht="15" hidden="false" customHeight="false" outlineLevel="0" collapsed="false">
      <c r="A361" s="9"/>
      <c r="B361" s="9"/>
      <c r="C361" s="9"/>
      <c r="D361" s="9"/>
      <c r="E361" s="9"/>
      <c r="F361" s="9" t="s">
        <v>975</v>
      </c>
      <c r="G361" s="10" t="s">
        <v>979</v>
      </c>
      <c r="H361" s="9" t="s">
        <v>333</v>
      </c>
      <c r="I361" s="9" t="n">
        <v>18</v>
      </c>
      <c r="J361" s="9" t="n">
        <v>658</v>
      </c>
      <c r="K361" s="11" t="n">
        <v>0.202</v>
      </c>
      <c r="L361" s="11" t="n">
        <v>1</v>
      </c>
      <c r="M361" s="9" t="n">
        <v>1</v>
      </c>
      <c r="N361" s="11" t="n">
        <v>1</v>
      </c>
      <c r="O361" s="11" t="n">
        <v>1</v>
      </c>
      <c r="P361" s="12"/>
      <c r="Q361" s="12"/>
      <c r="R361" s="12"/>
      <c r="S361" s="12"/>
      <c r="T361" s="9" t="s">
        <v>978</v>
      </c>
      <c r="U361" s="9" t="s">
        <v>979</v>
      </c>
    </row>
    <row r="362" customFormat="false" ht="15" hidden="false" customHeight="false" outlineLevel="0" collapsed="false">
      <c r="A362" s="9"/>
      <c r="B362" s="9"/>
      <c r="C362" s="9"/>
      <c r="D362" s="9"/>
      <c r="E362" s="9"/>
      <c r="F362" s="9" t="s">
        <v>975</v>
      </c>
      <c r="G362" s="10" t="s">
        <v>980</v>
      </c>
      <c r="H362" s="9"/>
      <c r="I362" s="9" t="n">
        <v>2</v>
      </c>
      <c r="J362" s="9" t="n">
        <v>0</v>
      </c>
      <c r="K362" s="11" t="n">
        <v>0</v>
      </c>
      <c r="L362" s="11" t="n">
        <v>1</v>
      </c>
      <c r="M362" s="9" t="n">
        <v>0</v>
      </c>
      <c r="N362" s="11" t="n">
        <v>0.667</v>
      </c>
      <c r="O362" s="11" t="n">
        <v>0.55</v>
      </c>
      <c r="P362" s="12"/>
      <c r="Q362" s="12"/>
      <c r="R362" s="12"/>
      <c r="S362" s="12"/>
      <c r="T362" s="9" t="s">
        <v>978</v>
      </c>
      <c r="U362" s="9" t="s">
        <v>980</v>
      </c>
    </row>
    <row r="363" customFormat="false" ht="15" hidden="false" customHeight="false" outlineLevel="0" collapsed="false">
      <c r="A363" s="9"/>
      <c r="B363" s="9"/>
      <c r="C363" s="9"/>
      <c r="D363" s="9"/>
      <c r="E363" s="9"/>
      <c r="F363" s="9" t="s">
        <v>975</v>
      </c>
      <c r="G363" s="10" t="s">
        <v>981</v>
      </c>
      <c r="H363" s="9"/>
      <c r="I363" s="9" t="n">
        <v>1</v>
      </c>
      <c r="J363" s="9" t="n">
        <v>0</v>
      </c>
      <c r="K363" s="11" t="n">
        <v>0</v>
      </c>
      <c r="L363" s="11" t="n">
        <v>1</v>
      </c>
      <c r="M363" s="9" t="n">
        <v>0</v>
      </c>
      <c r="N363" s="11" t="n">
        <v>0.5</v>
      </c>
      <c r="O363" s="11" t="n">
        <v>0.525</v>
      </c>
      <c r="P363" s="12"/>
      <c r="Q363" s="12"/>
      <c r="R363" s="12"/>
      <c r="S363" s="12"/>
      <c r="T363" s="9" t="s">
        <v>978</v>
      </c>
      <c r="U363" s="9" t="s">
        <v>981</v>
      </c>
    </row>
    <row r="364" customFormat="false" ht="15" hidden="false" customHeight="false" outlineLevel="0" collapsed="false">
      <c r="A364" s="9"/>
      <c r="B364" s="9"/>
      <c r="C364" s="9"/>
      <c r="D364" s="9"/>
      <c r="E364" s="9"/>
      <c r="F364" s="9" t="s">
        <v>975</v>
      </c>
      <c r="G364" s="10" t="s">
        <v>982</v>
      </c>
      <c r="H364" s="9"/>
      <c r="I364" s="9" t="n">
        <v>1</v>
      </c>
      <c r="J364" s="9" t="n">
        <v>0</v>
      </c>
      <c r="K364" s="11" t="n">
        <v>0</v>
      </c>
      <c r="L364" s="11" t="n">
        <v>1</v>
      </c>
      <c r="M364" s="9" t="n">
        <v>0</v>
      </c>
      <c r="N364" s="11" t="n">
        <v>0.5</v>
      </c>
      <c r="O364" s="11" t="n">
        <v>0.525</v>
      </c>
      <c r="P364" s="12"/>
      <c r="Q364" s="12"/>
      <c r="R364" s="12"/>
      <c r="S364" s="12"/>
      <c r="T364" s="9" t="s">
        <v>978</v>
      </c>
      <c r="U364" s="9" t="s">
        <v>982</v>
      </c>
    </row>
    <row r="365" customFormat="false" ht="15" hidden="false" customHeight="false" outlineLevel="0" collapsed="false">
      <c r="A365" s="7" t="s">
        <v>43</v>
      </c>
      <c r="B365" s="7" t="s">
        <v>983</v>
      </c>
      <c r="C365" s="8" t="s">
        <v>984</v>
      </c>
      <c r="D365" s="7" t="s">
        <v>300</v>
      </c>
      <c r="E365" s="7" t="n">
        <v>774</v>
      </c>
      <c r="F365" s="9" t="s">
        <v>983</v>
      </c>
      <c r="G365" s="10" t="s">
        <v>985</v>
      </c>
      <c r="H365" s="9" t="s">
        <v>984</v>
      </c>
      <c r="I365" s="9" t="n">
        <v>42</v>
      </c>
      <c r="J365" s="9" t="n">
        <v>516</v>
      </c>
      <c r="K365" s="11" t="n">
        <v>0.667</v>
      </c>
      <c r="L365" s="11" t="n">
        <v>1</v>
      </c>
      <c r="M365" s="9" t="n">
        <v>1</v>
      </c>
      <c r="N365" s="11" t="n">
        <v>1</v>
      </c>
      <c r="O365" s="11" t="n">
        <v>1</v>
      </c>
      <c r="P365" s="12"/>
      <c r="Q365" s="12"/>
      <c r="R365" s="12"/>
      <c r="S365" s="12"/>
      <c r="T365" s="9" t="s">
        <v>986</v>
      </c>
      <c r="U365" s="9" t="s">
        <v>985</v>
      </c>
    </row>
    <row r="366" customFormat="false" ht="15" hidden="false" customHeight="false" outlineLevel="0" collapsed="false">
      <c r="A366" s="9"/>
      <c r="B366" s="9"/>
      <c r="C366" s="9"/>
      <c r="D366" s="9"/>
      <c r="E366" s="9"/>
      <c r="F366" s="9" t="s">
        <v>983</v>
      </c>
      <c r="G366" s="10" t="s">
        <v>987</v>
      </c>
      <c r="H366" s="9" t="s">
        <v>988</v>
      </c>
      <c r="I366" s="9" t="n">
        <v>31</v>
      </c>
      <c r="J366" s="9" t="n">
        <v>789</v>
      </c>
      <c r="K366" s="11" t="n">
        <v>1.019</v>
      </c>
      <c r="L366" s="11" t="n">
        <v>1</v>
      </c>
      <c r="M366" s="9" t="n">
        <v>1</v>
      </c>
      <c r="N366" s="11" t="n">
        <v>0.136</v>
      </c>
      <c r="O366" s="11" t="n">
        <v>0.87</v>
      </c>
      <c r="P366" s="12"/>
      <c r="Q366" s="12"/>
      <c r="R366" s="12"/>
      <c r="S366" s="12"/>
      <c r="T366" s="9" t="s">
        <v>986</v>
      </c>
      <c r="U366" s="9" t="s">
        <v>987</v>
      </c>
    </row>
    <row r="367" customFormat="false" ht="15" hidden="false" customHeight="false" outlineLevel="0" collapsed="false">
      <c r="A367" s="9"/>
      <c r="B367" s="9"/>
      <c r="C367" s="9"/>
      <c r="D367" s="9"/>
      <c r="E367" s="9"/>
      <c r="F367" s="9" t="s">
        <v>989</v>
      </c>
      <c r="G367" s="10" t="s">
        <v>990</v>
      </c>
      <c r="H367" s="9" t="s">
        <v>984</v>
      </c>
      <c r="I367" s="9" t="n">
        <v>1</v>
      </c>
      <c r="J367" s="9" t="n">
        <v>0</v>
      </c>
      <c r="K367" s="11" t="n">
        <v>0</v>
      </c>
      <c r="L367" s="11" t="n">
        <v>0.69</v>
      </c>
      <c r="M367" s="9" t="n">
        <v>1</v>
      </c>
      <c r="N367" s="11" t="n">
        <v>1</v>
      </c>
      <c r="O367" s="11" t="n">
        <v>0.761</v>
      </c>
      <c r="P367" s="12"/>
      <c r="Q367" s="12"/>
      <c r="R367" s="12"/>
      <c r="S367" s="12"/>
      <c r="T367" s="9" t="s">
        <v>986</v>
      </c>
      <c r="U367" s="9" t="s">
        <v>990</v>
      </c>
    </row>
    <row r="368" customFormat="false" ht="15" hidden="false" customHeight="false" outlineLevel="0" collapsed="false">
      <c r="A368" s="9"/>
      <c r="B368" s="9"/>
      <c r="C368" s="9"/>
      <c r="D368" s="9"/>
      <c r="E368" s="9"/>
      <c r="F368" s="9" t="s">
        <v>991</v>
      </c>
      <c r="G368" s="10" t="s">
        <v>992</v>
      </c>
      <c r="H368" s="9"/>
      <c r="I368" s="9" t="n">
        <v>7</v>
      </c>
      <c r="J368" s="9" t="n">
        <v>190</v>
      </c>
      <c r="K368" s="11" t="n">
        <v>0.245</v>
      </c>
      <c r="L368" s="11" t="n">
        <v>1</v>
      </c>
      <c r="M368" s="9" t="n">
        <v>0</v>
      </c>
      <c r="N368" s="11" t="n">
        <v>0</v>
      </c>
      <c r="O368" s="11" t="n">
        <v>0.55</v>
      </c>
      <c r="P368" s="12"/>
      <c r="Q368" s="12"/>
      <c r="R368" s="12"/>
      <c r="S368" s="12"/>
      <c r="T368" s="9" t="s">
        <v>986</v>
      </c>
      <c r="U368" s="9" t="s">
        <v>992</v>
      </c>
    </row>
    <row r="369" customFormat="false" ht="15" hidden="false" customHeight="false" outlineLevel="0" collapsed="false">
      <c r="A369" s="9"/>
      <c r="B369" s="9"/>
      <c r="C369" s="9"/>
      <c r="D369" s="9"/>
      <c r="E369" s="9"/>
      <c r="F369" s="9" t="s">
        <v>993</v>
      </c>
      <c r="G369" s="10" t="s">
        <v>994</v>
      </c>
      <c r="H369" s="9" t="s">
        <v>995</v>
      </c>
      <c r="I369" s="9" t="n">
        <v>4</v>
      </c>
      <c r="J369" s="9" t="n">
        <v>34</v>
      </c>
      <c r="K369" s="11" t="n">
        <v>0.044</v>
      </c>
      <c r="L369" s="11" t="n">
        <v>1</v>
      </c>
      <c r="M369" s="9" t="n">
        <v>0</v>
      </c>
      <c r="N369" s="11" t="n">
        <v>0.25</v>
      </c>
      <c r="O369" s="11" t="n">
        <v>0.537</v>
      </c>
      <c r="P369" s="12"/>
      <c r="Q369" s="12"/>
      <c r="R369" s="12"/>
      <c r="S369" s="12"/>
      <c r="T369" s="9" t="s">
        <v>986</v>
      </c>
      <c r="U369" s="9" t="s">
        <v>994</v>
      </c>
    </row>
    <row r="370" customFormat="false" ht="15" hidden="false" customHeight="false" outlineLevel="0" collapsed="false">
      <c r="A370" s="7" t="s">
        <v>43</v>
      </c>
      <c r="B370" s="7" t="s">
        <v>996</v>
      </c>
      <c r="C370" s="8" t="s">
        <v>997</v>
      </c>
      <c r="D370" s="7" t="s">
        <v>998</v>
      </c>
      <c r="E370" s="7" t="n">
        <v>23933</v>
      </c>
      <c r="F370" s="9" t="s">
        <v>996</v>
      </c>
      <c r="G370" s="10" t="s">
        <v>999</v>
      </c>
      <c r="H370" s="9" t="s">
        <v>1000</v>
      </c>
      <c r="I370" s="9" t="n">
        <v>225</v>
      </c>
      <c r="J370" s="9" t="n">
        <v>10766</v>
      </c>
      <c r="K370" s="11" t="n">
        <v>0.577</v>
      </c>
      <c r="L370" s="11" t="n">
        <v>1</v>
      </c>
      <c r="M370" s="9" t="n">
        <v>1</v>
      </c>
      <c r="N370" s="11" t="n">
        <v>1</v>
      </c>
      <c r="O370" s="11" t="n">
        <v>1</v>
      </c>
      <c r="P370" s="12"/>
      <c r="Q370" s="12"/>
      <c r="R370" s="12"/>
      <c r="S370" s="12"/>
      <c r="T370" s="9" t="s">
        <v>1001</v>
      </c>
      <c r="U370" s="9" t="s">
        <v>999</v>
      </c>
    </row>
    <row r="371" customFormat="false" ht="15" hidden="false" customHeight="false" outlineLevel="0" collapsed="false">
      <c r="A371" s="9"/>
      <c r="B371" s="9"/>
      <c r="C371" s="9"/>
      <c r="D371" s="9"/>
      <c r="E371" s="9"/>
      <c r="F371" s="9" t="s">
        <v>996</v>
      </c>
      <c r="G371" s="10" t="s">
        <v>1002</v>
      </c>
      <c r="H371" s="9" t="s">
        <v>1003</v>
      </c>
      <c r="I371" s="9" t="n">
        <v>100</v>
      </c>
      <c r="J371" s="9" t="n">
        <v>3949</v>
      </c>
      <c r="K371" s="11" t="n">
        <v>0.212</v>
      </c>
      <c r="L371" s="11" t="n">
        <v>1</v>
      </c>
      <c r="M371" s="9" t="n">
        <v>1</v>
      </c>
      <c r="N371" s="11" t="n">
        <v>1</v>
      </c>
      <c r="O371" s="11" t="n">
        <v>1</v>
      </c>
      <c r="P371" s="12"/>
      <c r="Q371" s="12"/>
      <c r="R371" s="12"/>
      <c r="S371" s="12"/>
      <c r="T371" s="9" t="s">
        <v>1001</v>
      </c>
      <c r="U371" s="9" t="s">
        <v>1002</v>
      </c>
    </row>
    <row r="372" customFormat="false" ht="15" hidden="false" customHeight="false" outlineLevel="0" collapsed="false">
      <c r="A372" s="9"/>
      <c r="B372" s="9"/>
      <c r="C372" s="9"/>
      <c r="D372" s="9"/>
      <c r="E372" s="9"/>
      <c r="F372" s="9" t="s">
        <v>996</v>
      </c>
      <c r="G372" s="10" t="s">
        <v>1004</v>
      </c>
      <c r="H372" s="9" t="s">
        <v>1005</v>
      </c>
      <c r="I372" s="9" t="n">
        <v>87</v>
      </c>
      <c r="J372" s="9" t="n">
        <v>1996</v>
      </c>
      <c r="K372" s="11" t="n">
        <v>0.107</v>
      </c>
      <c r="L372" s="11" t="n">
        <v>1</v>
      </c>
      <c r="M372" s="9" t="n">
        <v>1</v>
      </c>
      <c r="N372" s="11" t="n">
        <v>0.139</v>
      </c>
      <c r="O372" s="11" t="n">
        <v>0.871</v>
      </c>
      <c r="P372" s="12"/>
      <c r="Q372" s="12"/>
      <c r="R372" s="12"/>
      <c r="S372" s="12"/>
      <c r="T372" s="9" t="s">
        <v>1001</v>
      </c>
      <c r="U372" s="9" t="s">
        <v>1004</v>
      </c>
    </row>
    <row r="373" customFormat="false" ht="15" hidden="false" customHeight="false" outlineLevel="0" collapsed="false">
      <c r="A373" s="9"/>
      <c r="B373" s="9"/>
      <c r="C373" s="9"/>
      <c r="D373" s="9"/>
      <c r="E373" s="9"/>
      <c r="F373" s="9" t="s">
        <v>996</v>
      </c>
      <c r="G373" s="10" t="s">
        <v>1006</v>
      </c>
      <c r="H373" s="9" t="s">
        <v>1000</v>
      </c>
      <c r="I373" s="9" t="n">
        <v>186</v>
      </c>
      <c r="J373" s="9" t="n">
        <v>4599</v>
      </c>
      <c r="K373" s="11" t="n">
        <v>0.246</v>
      </c>
      <c r="L373" s="11" t="n">
        <v>1</v>
      </c>
      <c r="M373" s="9" t="n">
        <v>1</v>
      </c>
      <c r="N373" s="11" t="n">
        <v>0</v>
      </c>
      <c r="O373" s="11" t="n">
        <v>0.85</v>
      </c>
      <c r="P373" s="12"/>
      <c r="Q373" s="12"/>
      <c r="R373" s="12"/>
      <c r="S373" s="12"/>
      <c r="T373" s="9" t="s">
        <v>1001</v>
      </c>
      <c r="U373" s="9" t="s">
        <v>1006</v>
      </c>
    </row>
    <row r="374" customFormat="false" ht="15" hidden="false" customHeight="false" outlineLevel="0" collapsed="false">
      <c r="A374" s="9"/>
      <c r="B374" s="9"/>
      <c r="C374" s="9"/>
      <c r="D374" s="9"/>
      <c r="E374" s="9"/>
      <c r="F374" s="9" t="s">
        <v>996</v>
      </c>
      <c r="G374" s="10" t="s">
        <v>1007</v>
      </c>
      <c r="H374" s="9" t="s">
        <v>1008</v>
      </c>
      <c r="I374" s="9" t="n">
        <v>219</v>
      </c>
      <c r="J374" s="9" t="n">
        <v>3309</v>
      </c>
      <c r="K374" s="11" t="n">
        <v>0.177</v>
      </c>
      <c r="L374" s="11" t="n">
        <v>1</v>
      </c>
      <c r="M374" s="9" t="n">
        <v>1</v>
      </c>
      <c r="N374" s="11" t="n">
        <v>0</v>
      </c>
      <c r="O374" s="11" t="n">
        <v>0.85</v>
      </c>
      <c r="P374" s="12"/>
      <c r="Q374" s="12"/>
      <c r="R374" s="12"/>
      <c r="S374" s="12"/>
      <c r="T374" s="9" t="s">
        <v>1001</v>
      </c>
      <c r="U374" s="9" t="s">
        <v>1007</v>
      </c>
    </row>
    <row r="375" customFormat="false" ht="15" hidden="false" customHeight="false" outlineLevel="0" collapsed="false">
      <c r="A375" s="7" t="s">
        <v>43</v>
      </c>
      <c r="B375" s="7" t="s">
        <v>1009</v>
      </c>
      <c r="C375" s="8" t="s">
        <v>372</v>
      </c>
      <c r="D375" s="7" t="s">
        <v>1010</v>
      </c>
      <c r="E375" s="7" t="n">
        <v>2567</v>
      </c>
      <c r="F375" s="9" t="s">
        <v>1009</v>
      </c>
      <c r="G375" s="10" t="s">
        <v>1011</v>
      </c>
      <c r="H375" s="9" t="s">
        <v>372</v>
      </c>
      <c r="I375" s="9" t="n">
        <v>156</v>
      </c>
      <c r="J375" s="9" t="n">
        <v>1082</v>
      </c>
      <c r="K375" s="11" t="n">
        <v>0.439</v>
      </c>
      <c r="L375" s="11" t="n">
        <v>1</v>
      </c>
      <c r="M375" s="9" t="n">
        <v>1</v>
      </c>
      <c r="N375" s="11" t="n">
        <v>0.785</v>
      </c>
      <c r="O375" s="11" t="n">
        <v>0.968</v>
      </c>
      <c r="P375" s="12"/>
      <c r="Q375" s="12"/>
      <c r="R375" s="12"/>
      <c r="S375" s="12"/>
      <c r="T375" s="9" t="s">
        <v>1012</v>
      </c>
      <c r="U375" s="9" t="s">
        <v>1011</v>
      </c>
    </row>
    <row r="376" customFormat="false" ht="15" hidden="false" customHeight="false" outlineLevel="0" collapsed="false">
      <c r="A376" s="9"/>
      <c r="B376" s="9"/>
      <c r="C376" s="9"/>
      <c r="D376" s="9"/>
      <c r="E376" s="9"/>
      <c r="F376" s="9" t="s">
        <v>1009</v>
      </c>
      <c r="G376" s="10" t="s">
        <v>1013</v>
      </c>
      <c r="H376" s="9" t="s">
        <v>372</v>
      </c>
      <c r="I376" s="9" t="n">
        <v>4</v>
      </c>
      <c r="J376" s="9" t="n">
        <v>2</v>
      </c>
      <c r="K376" s="11" t="n">
        <v>0.001</v>
      </c>
      <c r="L376" s="11" t="n">
        <v>1</v>
      </c>
      <c r="M376" s="9" t="n">
        <v>1</v>
      </c>
      <c r="N376" s="11" t="n">
        <v>1</v>
      </c>
      <c r="O376" s="11" t="n">
        <v>0.9</v>
      </c>
      <c r="P376" s="12"/>
      <c r="Q376" s="12"/>
      <c r="R376" s="12"/>
      <c r="S376" s="12"/>
      <c r="T376" s="9" t="s">
        <v>1012</v>
      </c>
      <c r="U376" s="9" t="s">
        <v>1013</v>
      </c>
    </row>
    <row r="377" customFormat="false" ht="15" hidden="false" customHeight="false" outlineLevel="0" collapsed="false">
      <c r="A377" s="9"/>
      <c r="B377" s="9"/>
      <c r="C377" s="9"/>
      <c r="D377" s="9"/>
      <c r="E377" s="9"/>
      <c r="F377" s="9" t="s">
        <v>1009</v>
      </c>
      <c r="G377" s="10" t="s">
        <v>1014</v>
      </c>
      <c r="H377" s="9" t="s">
        <v>372</v>
      </c>
      <c r="I377" s="9" t="n">
        <v>15</v>
      </c>
      <c r="J377" s="9" t="n">
        <v>36</v>
      </c>
      <c r="K377" s="11" t="n">
        <v>0.015</v>
      </c>
      <c r="L377" s="11" t="n">
        <v>1</v>
      </c>
      <c r="M377" s="9" t="n">
        <v>1</v>
      </c>
      <c r="N377" s="11" t="n">
        <v>0.789</v>
      </c>
      <c r="O377" s="11" t="n">
        <v>0.868</v>
      </c>
      <c r="P377" s="12"/>
      <c r="Q377" s="12"/>
      <c r="R377" s="12"/>
      <c r="S377" s="12"/>
      <c r="T377" s="9" t="s">
        <v>1012</v>
      </c>
      <c r="U377" s="9" t="s">
        <v>1014</v>
      </c>
    </row>
    <row r="378" customFormat="false" ht="15" hidden="false" customHeight="false" outlineLevel="0" collapsed="false">
      <c r="A378" s="9"/>
      <c r="B378" s="9"/>
      <c r="C378" s="9"/>
      <c r="D378" s="9"/>
      <c r="E378" s="9"/>
      <c r="F378" s="9" t="s">
        <v>1015</v>
      </c>
      <c r="G378" s="10" t="s">
        <v>1016</v>
      </c>
      <c r="H378" s="9" t="s">
        <v>1017</v>
      </c>
      <c r="I378" s="9" t="n">
        <v>43</v>
      </c>
      <c r="J378" s="9" t="n">
        <v>890</v>
      </c>
      <c r="K378" s="11" t="n">
        <v>0.361</v>
      </c>
      <c r="L378" s="11" t="n">
        <v>1</v>
      </c>
      <c r="M378" s="9" t="n">
        <v>0</v>
      </c>
      <c r="N378" s="11" t="n">
        <v>1</v>
      </c>
      <c r="O378" s="11" t="n">
        <v>0.7</v>
      </c>
      <c r="P378" s="12"/>
      <c r="Q378" s="12"/>
      <c r="R378" s="12"/>
      <c r="S378" s="12"/>
      <c r="T378" s="9" t="s">
        <v>1012</v>
      </c>
      <c r="U378" s="9" t="s">
        <v>1016</v>
      </c>
    </row>
    <row r="379" customFormat="false" ht="15" hidden="false" customHeight="false" outlineLevel="0" collapsed="false">
      <c r="A379" s="9"/>
      <c r="B379" s="9"/>
      <c r="C379" s="9"/>
      <c r="D379" s="9"/>
      <c r="E379" s="9"/>
      <c r="F379" s="9" t="s">
        <v>1018</v>
      </c>
      <c r="G379" s="10" t="s">
        <v>1019</v>
      </c>
      <c r="H379" s="9"/>
      <c r="I379" s="9" t="n">
        <v>1</v>
      </c>
      <c r="J379" s="9" t="n">
        <v>1</v>
      </c>
      <c r="K379" s="11" t="n">
        <v>0</v>
      </c>
      <c r="L379" s="11" t="n">
        <v>1</v>
      </c>
      <c r="M379" s="9" t="n">
        <v>0</v>
      </c>
      <c r="N379" s="11" t="n">
        <v>1</v>
      </c>
      <c r="O379" s="11" t="n">
        <v>0.6</v>
      </c>
      <c r="P379" s="12"/>
      <c r="Q379" s="12"/>
      <c r="R379" s="12"/>
      <c r="S379" s="12"/>
      <c r="T379" s="9" t="s">
        <v>1012</v>
      </c>
      <c r="U379" s="9" t="s">
        <v>1019</v>
      </c>
    </row>
    <row r="380" customFormat="false" ht="15" hidden="false" customHeight="false" outlineLevel="0" collapsed="false">
      <c r="A380" s="7" t="s">
        <v>43</v>
      </c>
      <c r="B380" s="7" t="s">
        <v>1020</v>
      </c>
      <c r="C380" s="8" t="s">
        <v>92</v>
      </c>
      <c r="D380" s="7" t="s">
        <v>1021</v>
      </c>
      <c r="E380" s="7" t="n">
        <v>63211</v>
      </c>
      <c r="F380" s="9" t="s">
        <v>1020</v>
      </c>
      <c r="G380" s="10" t="s">
        <v>1022</v>
      </c>
      <c r="H380" s="9" t="s">
        <v>95</v>
      </c>
      <c r="I380" s="9" t="n">
        <v>233</v>
      </c>
      <c r="J380" s="9" t="n">
        <v>19370</v>
      </c>
      <c r="K380" s="11" t="n">
        <v>0.318</v>
      </c>
      <c r="L380" s="11" t="n">
        <v>1</v>
      </c>
      <c r="M380" s="9" t="n">
        <v>1</v>
      </c>
      <c r="N380" s="11" t="n">
        <v>1</v>
      </c>
      <c r="O380" s="11" t="n">
        <v>1</v>
      </c>
      <c r="P380" s="12"/>
      <c r="Q380" s="12"/>
      <c r="R380" s="12"/>
      <c r="S380" s="12"/>
      <c r="T380" s="9" t="s">
        <v>1023</v>
      </c>
      <c r="U380" s="9" t="s">
        <v>1022</v>
      </c>
    </row>
    <row r="381" customFormat="false" ht="15" hidden="false" customHeight="false" outlineLevel="0" collapsed="false">
      <c r="A381" s="9"/>
      <c r="B381" s="9"/>
      <c r="C381" s="9"/>
      <c r="D381" s="9"/>
      <c r="E381" s="9"/>
      <c r="F381" s="9" t="s">
        <v>1020</v>
      </c>
      <c r="G381" s="10" t="s">
        <v>1024</v>
      </c>
      <c r="H381" s="9" t="s">
        <v>95</v>
      </c>
      <c r="I381" s="9" t="n">
        <v>39</v>
      </c>
      <c r="J381" s="9" t="n">
        <v>6828</v>
      </c>
      <c r="K381" s="11" t="n">
        <v>0.112</v>
      </c>
      <c r="L381" s="11" t="n">
        <v>1</v>
      </c>
      <c r="M381" s="9" t="n">
        <v>1</v>
      </c>
      <c r="N381" s="11" t="n">
        <v>1</v>
      </c>
      <c r="O381" s="11" t="n">
        <v>1</v>
      </c>
      <c r="P381" s="12"/>
      <c r="Q381" s="12"/>
      <c r="R381" s="12"/>
      <c r="S381" s="12"/>
      <c r="T381" s="9" t="s">
        <v>1023</v>
      </c>
      <c r="U381" s="9" t="s">
        <v>1024</v>
      </c>
    </row>
    <row r="382" customFormat="false" ht="15" hidden="false" customHeight="false" outlineLevel="0" collapsed="false">
      <c r="A382" s="9"/>
      <c r="B382" s="9"/>
      <c r="C382" s="9"/>
      <c r="D382" s="9"/>
      <c r="E382" s="9"/>
      <c r="F382" s="9" t="s">
        <v>1020</v>
      </c>
      <c r="G382" s="10" t="s">
        <v>1025</v>
      </c>
      <c r="H382" s="9"/>
      <c r="I382" s="9" t="n">
        <v>3</v>
      </c>
      <c r="J382" s="9" t="n">
        <v>271</v>
      </c>
      <c r="K382" s="11" t="n">
        <v>0.004</v>
      </c>
      <c r="L382" s="11" t="n">
        <v>1</v>
      </c>
      <c r="M382" s="9" t="n">
        <v>1</v>
      </c>
      <c r="N382" s="11" t="n">
        <v>1</v>
      </c>
      <c r="O382" s="11" t="n">
        <v>0.9</v>
      </c>
      <c r="P382" s="12"/>
      <c r="Q382" s="12"/>
      <c r="R382" s="12"/>
      <c r="S382" s="12"/>
      <c r="T382" s="9" t="s">
        <v>1023</v>
      </c>
      <c r="U382" s="9" t="s">
        <v>1025</v>
      </c>
    </row>
    <row r="383" customFormat="false" ht="15" hidden="false" customHeight="false" outlineLevel="0" collapsed="false">
      <c r="A383" s="9"/>
      <c r="B383" s="9"/>
      <c r="C383" s="9"/>
      <c r="D383" s="9"/>
      <c r="E383" s="9"/>
      <c r="F383" s="9" t="s">
        <v>1020</v>
      </c>
      <c r="G383" s="10" t="s">
        <v>1026</v>
      </c>
      <c r="H383" s="9" t="s">
        <v>95</v>
      </c>
      <c r="I383" s="9" t="n">
        <v>1</v>
      </c>
      <c r="J383" s="9" t="n">
        <v>0</v>
      </c>
      <c r="K383" s="11" t="n">
        <v>0</v>
      </c>
      <c r="L383" s="11" t="n">
        <v>1</v>
      </c>
      <c r="M383" s="9" t="n">
        <v>1</v>
      </c>
      <c r="N383" s="11" t="n">
        <v>0.333</v>
      </c>
      <c r="O383" s="11" t="n">
        <v>0.8</v>
      </c>
      <c r="P383" s="12"/>
      <c r="Q383" s="12"/>
      <c r="R383" s="12"/>
      <c r="S383" s="12"/>
      <c r="T383" s="9" t="s">
        <v>1023</v>
      </c>
      <c r="U383" s="9" t="s">
        <v>1026</v>
      </c>
    </row>
    <row r="384" customFormat="false" ht="15" hidden="false" customHeight="false" outlineLevel="0" collapsed="false">
      <c r="A384" s="9"/>
      <c r="B384" s="9"/>
      <c r="C384" s="9"/>
      <c r="D384" s="9"/>
      <c r="E384" s="9"/>
      <c r="F384" s="9" t="s">
        <v>1020</v>
      </c>
      <c r="G384" s="10" t="s">
        <v>1027</v>
      </c>
      <c r="H384" s="9"/>
      <c r="I384" s="9" t="n">
        <v>1</v>
      </c>
      <c r="J384" s="9" t="n">
        <v>50</v>
      </c>
      <c r="K384" s="11" t="n">
        <v>0.001</v>
      </c>
      <c r="L384" s="11" t="n">
        <v>1</v>
      </c>
      <c r="M384" s="9" t="n">
        <v>0</v>
      </c>
      <c r="N384" s="11" t="n">
        <v>1</v>
      </c>
      <c r="O384" s="11" t="n">
        <v>0.6</v>
      </c>
      <c r="P384" s="12"/>
      <c r="Q384" s="12"/>
      <c r="R384" s="12"/>
      <c r="S384" s="12"/>
      <c r="T384" s="9" t="s">
        <v>1023</v>
      </c>
      <c r="U384" s="9" t="s">
        <v>1027</v>
      </c>
    </row>
    <row r="385" customFormat="false" ht="15" hidden="false" customHeight="false" outlineLevel="0" collapsed="false">
      <c r="A385" s="7" t="s">
        <v>43</v>
      </c>
      <c r="B385" s="7" t="s">
        <v>1028</v>
      </c>
      <c r="C385" s="8" t="s">
        <v>357</v>
      </c>
      <c r="D385" s="7" t="s">
        <v>1029</v>
      </c>
      <c r="E385" s="7" t="n">
        <v>652</v>
      </c>
      <c r="F385" s="9" t="s">
        <v>1028</v>
      </c>
      <c r="G385" s="10" t="s">
        <v>1030</v>
      </c>
      <c r="H385" s="9" t="s">
        <v>1031</v>
      </c>
      <c r="I385" s="9" t="n">
        <v>22</v>
      </c>
      <c r="J385" s="9" t="n">
        <v>121</v>
      </c>
      <c r="K385" s="11" t="n">
        <v>0.203</v>
      </c>
      <c r="L385" s="11" t="n">
        <v>1</v>
      </c>
      <c r="M385" s="9" t="n">
        <v>1</v>
      </c>
      <c r="N385" s="11" t="n">
        <v>0.364</v>
      </c>
      <c r="O385" s="11" t="n">
        <v>0.905</v>
      </c>
      <c r="P385" s="12"/>
      <c r="Q385" s="12"/>
      <c r="R385" s="12"/>
      <c r="S385" s="12"/>
      <c r="T385" s="9" t="s">
        <v>1032</v>
      </c>
      <c r="U385" s="9" t="s">
        <v>1030</v>
      </c>
    </row>
    <row r="386" customFormat="false" ht="15" hidden="false" customHeight="false" outlineLevel="0" collapsed="false">
      <c r="A386" s="9"/>
      <c r="B386" s="9"/>
      <c r="C386" s="9"/>
      <c r="D386" s="9"/>
      <c r="E386" s="9"/>
      <c r="F386" s="9" t="s">
        <v>1028</v>
      </c>
      <c r="G386" s="10" t="s">
        <v>1033</v>
      </c>
      <c r="H386" s="9" t="s">
        <v>58</v>
      </c>
      <c r="I386" s="9" t="n">
        <v>1</v>
      </c>
      <c r="J386" s="9" t="n">
        <v>0</v>
      </c>
      <c r="K386" s="11" t="n">
        <v>0</v>
      </c>
      <c r="L386" s="11" t="n">
        <v>1</v>
      </c>
      <c r="M386" s="9" t="n">
        <v>1</v>
      </c>
      <c r="N386" s="11" t="n">
        <v>0.5</v>
      </c>
      <c r="O386" s="11" t="n">
        <v>0.825</v>
      </c>
      <c r="P386" s="12"/>
      <c r="Q386" s="12"/>
      <c r="R386" s="12"/>
      <c r="S386" s="12"/>
      <c r="T386" s="9" t="s">
        <v>1032</v>
      </c>
      <c r="U386" s="9" t="s">
        <v>1033</v>
      </c>
    </row>
    <row r="387" customFormat="false" ht="15" hidden="false" customHeight="false" outlineLevel="0" collapsed="false">
      <c r="A387" s="9"/>
      <c r="B387" s="9"/>
      <c r="C387" s="9"/>
      <c r="D387" s="9"/>
      <c r="E387" s="9"/>
      <c r="F387" s="9" t="s">
        <v>1028</v>
      </c>
      <c r="G387" s="10" t="s">
        <v>1034</v>
      </c>
      <c r="H387" s="9" t="s">
        <v>58</v>
      </c>
      <c r="I387" s="9" t="n">
        <v>12</v>
      </c>
      <c r="J387" s="9" t="n">
        <v>461</v>
      </c>
      <c r="K387" s="11" t="n">
        <v>0.773</v>
      </c>
      <c r="L387" s="11" t="n">
        <v>1</v>
      </c>
      <c r="M387" s="9" t="n">
        <v>0.5</v>
      </c>
      <c r="N387" s="11" t="n">
        <v>0.7</v>
      </c>
      <c r="O387" s="11" t="n">
        <v>0.805</v>
      </c>
      <c r="P387" s="12"/>
      <c r="Q387" s="12"/>
      <c r="R387" s="12"/>
      <c r="S387" s="12"/>
      <c r="T387" s="9" t="s">
        <v>1032</v>
      </c>
      <c r="U387" s="9" t="s">
        <v>1034</v>
      </c>
    </row>
    <row r="388" customFormat="false" ht="15" hidden="false" customHeight="false" outlineLevel="0" collapsed="false">
      <c r="A388" s="9"/>
      <c r="B388" s="9"/>
      <c r="C388" s="9"/>
      <c r="D388" s="9"/>
      <c r="E388" s="9"/>
      <c r="F388" s="9" t="s">
        <v>1028</v>
      </c>
      <c r="G388" s="10" t="s">
        <v>1035</v>
      </c>
      <c r="H388" s="9" t="s">
        <v>1036</v>
      </c>
      <c r="I388" s="9" t="n">
        <v>3</v>
      </c>
      <c r="J388" s="9" t="n">
        <v>79</v>
      </c>
      <c r="K388" s="11" t="n">
        <v>0.133</v>
      </c>
      <c r="L388" s="11" t="n">
        <v>1</v>
      </c>
      <c r="M388" s="9" t="n">
        <v>0</v>
      </c>
      <c r="N388" s="11" t="n">
        <v>0.75</v>
      </c>
      <c r="O388" s="11" t="n">
        <v>0.662</v>
      </c>
      <c r="P388" s="12"/>
      <c r="Q388" s="12"/>
      <c r="R388" s="12"/>
      <c r="S388" s="12"/>
      <c r="T388" s="9" t="s">
        <v>1032</v>
      </c>
      <c r="U388" s="9" t="s">
        <v>1035</v>
      </c>
    </row>
    <row r="389" customFormat="false" ht="15" hidden="false" customHeight="false" outlineLevel="0" collapsed="false">
      <c r="A389" s="9"/>
      <c r="B389" s="9"/>
      <c r="C389" s="9"/>
      <c r="D389" s="9"/>
      <c r="E389" s="9"/>
      <c r="F389" s="9" t="s">
        <v>1028</v>
      </c>
      <c r="G389" s="10" t="s">
        <v>1037</v>
      </c>
      <c r="H389" s="9" t="s">
        <v>1038</v>
      </c>
      <c r="I389" s="9" t="n">
        <v>1</v>
      </c>
      <c r="J389" s="9" t="n">
        <v>0</v>
      </c>
      <c r="K389" s="11" t="n">
        <v>0</v>
      </c>
      <c r="L389" s="11" t="n">
        <v>1</v>
      </c>
      <c r="M389" s="9" t="n">
        <v>0.5</v>
      </c>
      <c r="N389" s="11" t="n">
        <v>0</v>
      </c>
      <c r="O389" s="11" t="n">
        <v>0.6</v>
      </c>
      <c r="P389" s="12"/>
      <c r="Q389" s="12"/>
      <c r="R389" s="12"/>
      <c r="S389" s="12"/>
      <c r="T389" s="9" t="s">
        <v>1032</v>
      </c>
      <c r="U389" s="9" t="s">
        <v>1037</v>
      </c>
    </row>
    <row r="390" customFormat="false" ht="15" hidden="false" customHeight="false" outlineLevel="0" collapsed="false">
      <c r="A390" s="7" t="s">
        <v>43</v>
      </c>
      <c r="B390" s="7" t="s">
        <v>1039</v>
      </c>
      <c r="C390" s="8" t="s">
        <v>240</v>
      </c>
      <c r="D390" s="7" t="s">
        <v>1040</v>
      </c>
      <c r="E390" s="7" t="n">
        <v>1180</v>
      </c>
      <c r="F390" s="9" t="s">
        <v>1041</v>
      </c>
      <c r="G390" s="10" t="s">
        <v>1042</v>
      </c>
      <c r="H390" s="9"/>
      <c r="I390" s="9" t="n">
        <v>51</v>
      </c>
      <c r="J390" s="9" t="n">
        <v>691</v>
      </c>
      <c r="K390" s="11" t="n">
        <v>0.62</v>
      </c>
      <c r="L390" s="11" t="n">
        <v>1</v>
      </c>
      <c r="M390" s="9" t="n">
        <v>1</v>
      </c>
      <c r="N390" s="11" t="n">
        <v>0.63</v>
      </c>
      <c r="O390" s="11" t="n">
        <v>0.945</v>
      </c>
      <c r="P390" s="12"/>
      <c r="Q390" s="12"/>
      <c r="R390" s="12"/>
      <c r="S390" s="12"/>
      <c r="T390" s="9" t="s">
        <v>1043</v>
      </c>
      <c r="U390" s="9" t="s">
        <v>1042</v>
      </c>
    </row>
    <row r="391" customFormat="false" ht="15" hidden="false" customHeight="false" outlineLevel="0" collapsed="false">
      <c r="A391" s="9"/>
      <c r="B391" s="9"/>
      <c r="C391" s="9"/>
      <c r="D391" s="9"/>
      <c r="E391" s="9"/>
      <c r="F391" s="9" t="s">
        <v>1039</v>
      </c>
      <c r="G391" s="10" t="s">
        <v>1044</v>
      </c>
      <c r="H391" s="9" t="s">
        <v>246</v>
      </c>
      <c r="I391" s="9" t="n">
        <v>51</v>
      </c>
      <c r="J391" s="9" t="n">
        <v>2304</v>
      </c>
      <c r="K391" s="11" t="n">
        <v>2.066</v>
      </c>
      <c r="L391" s="11" t="n">
        <v>1</v>
      </c>
      <c r="M391" s="9" t="n">
        <v>1</v>
      </c>
      <c r="N391" s="11" t="n">
        <v>0.621</v>
      </c>
      <c r="O391" s="11" t="n">
        <v>0.893</v>
      </c>
      <c r="P391" s="12"/>
      <c r="Q391" s="12"/>
      <c r="R391" s="12"/>
      <c r="S391" s="12"/>
      <c r="T391" s="9" t="s">
        <v>1043</v>
      </c>
      <c r="U391" s="9" t="s">
        <v>1044</v>
      </c>
    </row>
    <row r="392" customFormat="false" ht="15" hidden="false" customHeight="false" outlineLevel="0" collapsed="false">
      <c r="A392" s="9"/>
      <c r="B392" s="9"/>
      <c r="C392" s="9"/>
      <c r="D392" s="9"/>
      <c r="E392" s="9"/>
      <c r="F392" s="9" t="s">
        <v>1045</v>
      </c>
      <c r="G392" s="10" t="s">
        <v>1046</v>
      </c>
      <c r="H392" s="9" t="s">
        <v>1047</v>
      </c>
      <c r="I392" s="9" t="n">
        <v>3</v>
      </c>
      <c r="J392" s="9" t="n">
        <v>12</v>
      </c>
      <c r="K392" s="11" t="n">
        <v>0.011</v>
      </c>
      <c r="L392" s="11" t="n">
        <v>1</v>
      </c>
      <c r="M392" s="9" t="n">
        <v>0</v>
      </c>
      <c r="N392" s="11" t="n">
        <v>1</v>
      </c>
      <c r="O392" s="11" t="n">
        <v>0.6</v>
      </c>
      <c r="P392" s="12"/>
      <c r="Q392" s="12"/>
      <c r="R392" s="12"/>
      <c r="S392" s="12"/>
      <c r="T392" s="9" t="s">
        <v>1043</v>
      </c>
      <c r="U392" s="9" t="s">
        <v>1046</v>
      </c>
    </row>
    <row r="393" customFormat="false" ht="15" hidden="false" customHeight="false" outlineLevel="0" collapsed="false">
      <c r="A393" s="9"/>
      <c r="B393" s="9"/>
      <c r="C393" s="9"/>
      <c r="D393" s="9"/>
      <c r="E393" s="9"/>
      <c r="F393" s="9" t="s">
        <v>1039</v>
      </c>
      <c r="G393" s="10" t="s">
        <v>1048</v>
      </c>
      <c r="H393" s="9"/>
      <c r="I393" s="9" t="n">
        <v>1</v>
      </c>
      <c r="J393" s="9" t="n">
        <v>0</v>
      </c>
      <c r="K393" s="11" t="n">
        <v>0</v>
      </c>
      <c r="L393" s="11" t="n">
        <v>1</v>
      </c>
      <c r="M393" s="9" t="n">
        <v>0</v>
      </c>
      <c r="N393" s="11" t="n">
        <v>1</v>
      </c>
      <c r="O393" s="11" t="n">
        <v>0.6</v>
      </c>
      <c r="P393" s="12"/>
      <c r="Q393" s="12"/>
      <c r="R393" s="12"/>
      <c r="S393" s="12"/>
      <c r="T393" s="9" t="s">
        <v>1043</v>
      </c>
      <c r="U393" s="9" t="s">
        <v>1048</v>
      </c>
    </row>
    <row r="394" customFormat="false" ht="15" hidden="false" customHeight="false" outlineLevel="0" collapsed="false">
      <c r="A394" s="9"/>
      <c r="B394" s="9"/>
      <c r="C394" s="9"/>
      <c r="D394" s="9"/>
      <c r="E394" s="9"/>
      <c r="F394" s="9" t="s">
        <v>1049</v>
      </c>
      <c r="G394" s="10" t="s">
        <v>1050</v>
      </c>
      <c r="H394" s="9" t="s">
        <v>1051</v>
      </c>
      <c r="I394" s="9" t="n">
        <v>5</v>
      </c>
      <c r="J394" s="9" t="n">
        <v>93</v>
      </c>
      <c r="K394" s="11" t="n">
        <v>0.083</v>
      </c>
      <c r="L394" s="11" t="n">
        <v>1</v>
      </c>
      <c r="M394" s="9" t="n">
        <v>0</v>
      </c>
      <c r="N394" s="11" t="n">
        <v>0.6</v>
      </c>
      <c r="O394" s="11" t="n">
        <v>0.59</v>
      </c>
      <c r="P394" s="12"/>
      <c r="Q394" s="12"/>
      <c r="R394" s="12"/>
      <c r="S394" s="12"/>
      <c r="T394" s="9" t="s">
        <v>1043</v>
      </c>
      <c r="U394" s="9" t="s">
        <v>1050</v>
      </c>
    </row>
    <row r="395" customFormat="false" ht="15" hidden="false" customHeight="false" outlineLevel="0" collapsed="false">
      <c r="A395" s="7" t="s">
        <v>43</v>
      </c>
      <c r="B395" s="7" t="s">
        <v>1052</v>
      </c>
      <c r="C395" s="8" t="s">
        <v>1053</v>
      </c>
      <c r="D395" s="7" t="s">
        <v>1054</v>
      </c>
      <c r="E395" s="7" t="n">
        <v>366</v>
      </c>
      <c r="F395" s="9" t="s">
        <v>1052</v>
      </c>
      <c r="G395" s="10" t="s">
        <v>1055</v>
      </c>
      <c r="H395" s="9"/>
      <c r="I395" s="9" t="n">
        <v>28</v>
      </c>
      <c r="J395" s="9" t="n">
        <v>240</v>
      </c>
      <c r="K395" s="11" t="n">
        <v>0.67</v>
      </c>
      <c r="L395" s="11" t="n">
        <v>1</v>
      </c>
      <c r="M395" s="9" t="n">
        <v>1</v>
      </c>
      <c r="N395" s="11" t="n">
        <v>0.417</v>
      </c>
      <c r="O395" s="11" t="n">
        <v>0.913</v>
      </c>
      <c r="P395" s="12"/>
      <c r="Q395" s="12"/>
      <c r="R395" s="12"/>
      <c r="S395" s="12"/>
      <c r="T395" s="9" t="s">
        <v>1056</v>
      </c>
      <c r="U395" s="9" t="s">
        <v>1055</v>
      </c>
    </row>
    <row r="396" customFormat="false" ht="15" hidden="false" customHeight="false" outlineLevel="0" collapsed="false">
      <c r="A396" s="9"/>
      <c r="B396" s="9"/>
      <c r="C396" s="9"/>
      <c r="D396" s="9"/>
      <c r="E396" s="9"/>
      <c r="F396" s="9" t="s">
        <v>1052</v>
      </c>
      <c r="G396" s="10" t="s">
        <v>1057</v>
      </c>
      <c r="H396" s="9" t="s">
        <v>1058</v>
      </c>
      <c r="I396" s="9" t="n">
        <v>13</v>
      </c>
      <c r="J396" s="9" t="n">
        <v>282</v>
      </c>
      <c r="K396" s="11" t="n">
        <v>0.788</v>
      </c>
      <c r="L396" s="11" t="n">
        <v>1</v>
      </c>
      <c r="M396" s="9" t="n">
        <v>0.5</v>
      </c>
      <c r="N396" s="11" t="n">
        <v>0.636</v>
      </c>
      <c r="O396" s="11" t="n">
        <v>0.795</v>
      </c>
      <c r="P396" s="12"/>
      <c r="Q396" s="12"/>
      <c r="R396" s="12"/>
      <c r="S396" s="12"/>
      <c r="T396" s="9" t="s">
        <v>1056</v>
      </c>
      <c r="U396" s="9" t="s">
        <v>1057</v>
      </c>
    </row>
    <row r="397" customFormat="false" ht="15" hidden="false" customHeight="false" outlineLevel="0" collapsed="false">
      <c r="A397" s="9"/>
      <c r="B397" s="9"/>
      <c r="C397" s="9"/>
      <c r="D397" s="9"/>
      <c r="E397" s="9"/>
      <c r="F397" s="9" t="s">
        <v>1052</v>
      </c>
      <c r="G397" s="10" t="s">
        <v>1059</v>
      </c>
      <c r="H397" s="9" t="s">
        <v>268</v>
      </c>
      <c r="I397" s="9" t="n">
        <v>131</v>
      </c>
      <c r="J397" s="9" t="n">
        <v>1849</v>
      </c>
      <c r="K397" s="11" t="n">
        <v>5.165</v>
      </c>
      <c r="L397" s="11" t="n">
        <v>1</v>
      </c>
      <c r="M397" s="9" t="n">
        <v>1</v>
      </c>
      <c r="N397" s="11" t="n">
        <v>0.143</v>
      </c>
      <c r="O397" s="11" t="n">
        <v>0.771</v>
      </c>
      <c r="P397" s="12"/>
      <c r="Q397" s="12"/>
      <c r="R397" s="12"/>
      <c r="S397" s="12"/>
      <c r="T397" s="9" t="s">
        <v>1056</v>
      </c>
      <c r="U397" s="9" t="s">
        <v>1059</v>
      </c>
    </row>
    <row r="398" customFormat="false" ht="15" hidden="false" customHeight="false" outlineLevel="0" collapsed="false">
      <c r="A398" s="9"/>
      <c r="B398" s="9"/>
      <c r="C398" s="9"/>
      <c r="D398" s="9"/>
      <c r="E398" s="9"/>
      <c r="F398" s="9" t="s">
        <v>1060</v>
      </c>
      <c r="G398" s="10" t="s">
        <v>1061</v>
      </c>
      <c r="H398" s="9" t="s">
        <v>1062</v>
      </c>
      <c r="I398" s="9" t="n">
        <v>2</v>
      </c>
      <c r="J398" s="9" t="n">
        <v>327</v>
      </c>
      <c r="K398" s="11" t="n">
        <v>0.913</v>
      </c>
      <c r="L398" s="11" t="n">
        <v>1</v>
      </c>
      <c r="M398" s="9" t="n">
        <v>0.5</v>
      </c>
      <c r="N398" s="11" t="n">
        <v>0.167</v>
      </c>
      <c r="O398" s="11" t="n">
        <v>0.725</v>
      </c>
      <c r="P398" s="12"/>
      <c r="Q398" s="12"/>
      <c r="R398" s="12"/>
      <c r="S398" s="12"/>
      <c r="T398" s="9" t="s">
        <v>1056</v>
      </c>
      <c r="U398" s="9" t="s">
        <v>1061</v>
      </c>
    </row>
    <row r="399" customFormat="false" ht="15" hidden="false" customHeight="false" outlineLevel="0" collapsed="false">
      <c r="A399" s="9"/>
      <c r="B399" s="9"/>
      <c r="C399" s="9"/>
      <c r="D399" s="9"/>
      <c r="E399" s="9"/>
      <c r="F399" s="9" t="s">
        <v>1052</v>
      </c>
      <c r="G399" s="10" t="s">
        <v>1063</v>
      </c>
      <c r="H399" s="9"/>
      <c r="I399" s="9" t="n">
        <v>8</v>
      </c>
      <c r="J399" s="9" t="n">
        <v>109</v>
      </c>
      <c r="K399" s="11" t="n">
        <v>0.304</v>
      </c>
      <c r="L399" s="11" t="n">
        <v>1</v>
      </c>
      <c r="M399" s="9" t="n">
        <v>0</v>
      </c>
      <c r="N399" s="11" t="n">
        <v>0.857</v>
      </c>
      <c r="O399" s="11" t="n">
        <v>0.679</v>
      </c>
      <c r="P399" s="12"/>
      <c r="Q399" s="12"/>
      <c r="R399" s="12"/>
      <c r="S399" s="12"/>
      <c r="T399" s="9" t="s">
        <v>1056</v>
      </c>
      <c r="U399" s="9" t="s">
        <v>1063</v>
      </c>
    </row>
    <row r="400" customFormat="false" ht="15" hidden="false" customHeight="false" outlineLevel="0" collapsed="false">
      <c r="A400" s="7" t="s">
        <v>43</v>
      </c>
      <c r="B400" s="7" t="s">
        <v>1064</v>
      </c>
      <c r="C400" s="8" t="s">
        <v>92</v>
      </c>
      <c r="D400" s="7" t="s">
        <v>1065</v>
      </c>
      <c r="E400" s="7" t="n">
        <v>9120</v>
      </c>
      <c r="F400" s="9" t="s">
        <v>1066</v>
      </c>
      <c r="G400" s="10" t="s">
        <v>1067</v>
      </c>
      <c r="H400" s="9" t="s">
        <v>1068</v>
      </c>
      <c r="I400" s="9" t="n">
        <v>412</v>
      </c>
      <c r="J400" s="9" t="n">
        <v>6105</v>
      </c>
      <c r="K400" s="11" t="n">
        <v>0.71</v>
      </c>
      <c r="L400" s="11" t="n">
        <v>1</v>
      </c>
      <c r="M400" s="9" t="n">
        <v>1</v>
      </c>
      <c r="N400" s="11" t="n">
        <v>0.942</v>
      </c>
      <c r="O400" s="11" t="n">
        <v>0.991</v>
      </c>
      <c r="P400" s="12"/>
      <c r="Q400" s="12"/>
      <c r="R400" s="12"/>
      <c r="S400" s="12"/>
      <c r="T400" s="9" t="s">
        <v>1069</v>
      </c>
      <c r="U400" s="9" t="s">
        <v>1067</v>
      </c>
    </row>
    <row r="401" customFormat="false" ht="15" hidden="false" customHeight="false" outlineLevel="0" collapsed="false">
      <c r="A401" s="9"/>
      <c r="B401" s="9"/>
      <c r="C401" s="9"/>
      <c r="D401" s="9"/>
      <c r="E401" s="9"/>
      <c r="F401" s="9" t="s">
        <v>1064</v>
      </c>
      <c r="G401" s="10" t="s">
        <v>1070</v>
      </c>
      <c r="H401" s="9" t="s">
        <v>1071</v>
      </c>
      <c r="I401" s="9" t="n">
        <v>147</v>
      </c>
      <c r="J401" s="9" t="n">
        <v>2596</v>
      </c>
      <c r="K401" s="11" t="n">
        <v>0.302</v>
      </c>
      <c r="L401" s="11" t="n">
        <v>1</v>
      </c>
      <c r="M401" s="9" t="n">
        <v>1</v>
      </c>
      <c r="N401" s="11" t="n">
        <v>0.369</v>
      </c>
      <c r="O401" s="11" t="n">
        <v>0.905</v>
      </c>
      <c r="P401" s="12"/>
      <c r="Q401" s="12"/>
      <c r="R401" s="12"/>
      <c r="S401" s="12"/>
      <c r="T401" s="9" t="s">
        <v>1069</v>
      </c>
      <c r="U401" s="9" t="s">
        <v>1070</v>
      </c>
    </row>
    <row r="402" customFormat="false" ht="15" hidden="false" customHeight="false" outlineLevel="0" collapsed="false">
      <c r="A402" s="9"/>
      <c r="B402" s="9"/>
      <c r="C402" s="9"/>
      <c r="D402" s="9"/>
      <c r="E402" s="9"/>
      <c r="F402" s="9" t="s">
        <v>1072</v>
      </c>
      <c r="G402" s="10" t="s">
        <v>1073</v>
      </c>
      <c r="H402" s="9"/>
      <c r="I402" s="9" t="n">
        <v>85</v>
      </c>
      <c r="J402" s="9" t="n">
        <v>1434</v>
      </c>
      <c r="K402" s="11" t="n">
        <v>0.167</v>
      </c>
      <c r="L402" s="11" t="n">
        <v>1</v>
      </c>
      <c r="M402" s="9" t="n">
        <v>1</v>
      </c>
      <c r="N402" s="11" t="n">
        <v>0.118</v>
      </c>
      <c r="O402" s="11" t="n">
        <v>0.868</v>
      </c>
      <c r="P402" s="12"/>
      <c r="Q402" s="12"/>
      <c r="R402" s="12"/>
      <c r="S402" s="12"/>
      <c r="T402" s="9" t="s">
        <v>1069</v>
      </c>
      <c r="U402" s="9" t="s">
        <v>1073</v>
      </c>
    </row>
    <row r="403" customFormat="false" ht="15" hidden="false" customHeight="false" outlineLevel="0" collapsed="false">
      <c r="A403" s="9"/>
      <c r="B403" s="9"/>
      <c r="C403" s="9"/>
      <c r="D403" s="9"/>
      <c r="E403" s="9"/>
      <c r="F403" s="9" t="s">
        <v>1074</v>
      </c>
      <c r="G403" s="10" t="s">
        <v>1075</v>
      </c>
      <c r="H403" s="9"/>
      <c r="I403" s="9" t="n">
        <v>43</v>
      </c>
      <c r="J403" s="9" t="n">
        <v>1154</v>
      </c>
      <c r="K403" s="11" t="n">
        <v>0.134</v>
      </c>
      <c r="L403" s="11" t="n">
        <v>1</v>
      </c>
      <c r="M403" s="9" t="n">
        <v>0</v>
      </c>
      <c r="N403" s="11" t="n">
        <v>1</v>
      </c>
      <c r="O403" s="11" t="n">
        <v>0.7</v>
      </c>
      <c r="P403" s="12"/>
      <c r="Q403" s="12"/>
      <c r="R403" s="12"/>
      <c r="S403" s="12"/>
      <c r="T403" s="9" t="s">
        <v>1069</v>
      </c>
      <c r="U403" s="9" t="s">
        <v>1075</v>
      </c>
    </row>
    <row r="404" customFormat="false" ht="15" hidden="false" customHeight="false" outlineLevel="0" collapsed="false">
      <c r="A404" s="9"/>
      <c r="B404" s="9"/>
      <c r="C404" s="9"/>
      <c r="D404" s="9"/>
      <c r="E404" s="9"/>
      <c r="F404" s="9" t="s">
        <v>1076</v>
      </c>
      <c r="G404" s="10" t="s">
        <v>1077</v>
      </c>
      <c r="H404" s="9" t="s">
        <v>724</v>
      </c>
      <c r="I404" s="9" t="n">
        <v>292</v>
      </c>
      <c r="J404" s="9" t="n">
        <v>7884</v>
      </c>
      <c r="K404" s="11" t="n">
        <v>0.917</v>
      </c>
      <c r="L404" s="11" t="n">
        <v>1</v>
      </c>
      <c r="M404" s="9" t="n">
        <v>0</v>
      </c>
      <c r="N404" s="11" t="n">
        <v>0.852</v>
      </c>
      <c r="O404" s="11" t="n">
        <v>0.678</v>
      </c>
      <c r="P404" s="12"/>
      <c r="Q404" s="12"/>
      <c r="R404" s="12"/>
      <c r="S404" s="12"/>
      <c r="T404" s="9" t="s">
        <v>1069</v>
      </c>
      <c r="U404" s="9" t="s">
        <v>1077</v>
      </c>
    </row>
    <row r="405" customFormat="false" ht="15" hidden="false" customHeight="false" outlineLevel="0" collapsed="false">
      <c r="A405" s="7" t="s">
        <v>43</v>
      </c>
      <c r="B405" s="7" t="s">
        <v>1078</v>
      </c>
      <c r="C405" s="8" t="s">
        <v>1079</v>
      </c>
      <c r="D405" s="7" t="s">
        <v>1080</v>
      </c>
      <c r="E405" s="7" t="n">
        <v>407</v>
      </c>
      <c r="F405" s="9" t="s">
        <v>1078</v>
      </c>
      <c r="G405" s="10" t="s">
        <v>1081</v>
      </c>
      <c r="H405" s="9" t="s">
        <v>1079</v>
      </c>
      <c r="I405" s="9" t="n">
        <v>26</v>
      </c>
      <c r="J405" s="9" t="n">
        <v>314</v>
      </c>
      <c r="K405" s="11" t="n">
        <v>0.771</v>
      </c>
      <c r="L405" s="11" t="n">
        <v>1</v>
      </c>
      <c r="M405" s="9" t="n">
        <v>1</v>
      </c>
      <c r="N405" s="11" t="n">
        <v>1</v>
      </c>
      <c r="O405" s="11" t="n">
        <v>1</v>
      </c>
      <c r="P405" s="12"/>
      <c r="Q405" s="12"/>
      <c r="R405" s="12"/>
      <c r="S405" s="12"/>
      <c r="T405" s="9" t="s">
        <v>1082</v>
      </c>
      <c r="U405" s="9" t="s">
        <v>1081</v>
      </c>
    </row>
    <row r="406" customFormat="false" ht="15" hidden="false" customHeight="false" outlineLevel="0" collapsed="false">
      <c r="A406" s="9"/>
      <c r="B406" s="9"/>
      <c r="C406" s="9"/>
      <c r="D406" s="9"/>
      <c r="E406" s="9"/>
      <c r="F406" s="9" t="s">
        <v>1078</v>
      </c>
      <c r="G406" s="10" t="s">
        <v>1083</v>
      </c>
      <c r="H406" s="9" t="s">
        <v>1079</v>
      </c>
      <c r="I406" s="9" t="n">
        <v>15</v>
      </c>
      <c r="J406" s="9" t="n">
        <v>91</v>
      </c>
      <c r="K406" s="11" t="n">
        <v>0.224</v>
      </c>
      <c r="L406" s="11" t="n">
        <v>1</v>
      </c>
      <c r="M406" s="9" t="n">
        <v>1</v>
      </c>
      <c r="N406" s="11" t="n">
        <v>1</v>
      </c>
      <c r="O406" s="11" t="n">
        <v>1</v>
      </c>
      <c r="P406" s="12"/>
      <c r="Q406" s="12"/>
      <c r="R406" s="12"/>
      <c r="S406" s="12"/>
      <c r="T406" s="9" t="s">
        <v>1082</v>
      </c>
      <c r="U406" s="9" t="s">
        <v>1083</v>
      </c>
    </row>
    <row r="407" customFormat="false" ht="15" hidden="false" customHeight="false" outlineLevel="0" collapsed="false">
      <c r="A407" s="9"/>
      <c r="B407" s="9"/>
      <c r="C407" s="9"/>
      <c r="D407" s="9"/>
      <c r="E407" s="9"/>
      <c r="F407" s="9" t="s">
        <v>1084</v>
      </c>
      <c r="G407" s="10" t="s">
        <v>1085</v>
      </c>
      <c r="H407" s="9" t="s">
        <v>1086</v>
      </c>
      <c r="I407" s="9" t="n">
        <v>120</v>
      </c>
      <c r="J407" s="9" t="n">
        <v>462</v>
      </c>
      <c r="K407" s="11" t="n">
        <v>1.135</v>
      </c>
      <c r="L407" s="11" t="n">
        <v>1</v>
      </c>
      <c r="M407" s="9" t="n">
        <v>0</v>
      </c>
      <c r="N407" s="11" t="n">
        <v>0.862</v>
      </c>
      <c r="O407" s="11" t="n">
        <v>0.679</v>
      </c>
      <c r="P407" s="12"/>
      <c r="Q407" s="12"/>
      <c r="R407" s="12"/>
      <c r="S407" s="12"/>
      <c r="T407" s="9" t="s">
        <v>1082</v>
      </c>
      <c r="U407" s="9" t="s">
        <v>1085</v>
      </c>
    </row>
    <row r="408" customFormat="false" ht="15" hidden="false" customHeight="false" outlineLevel="0" collapsed="false">
      <c r="A408" s="9"/>
      <c r="B408" s="9"/>
      <c r="C408" s="9"/>
      <c r="D408" s="9"/>
      <c r="E408" s="9"/>
      <c r="F408" s="9" t="s">
        <v>1084</v>
      </c>
      <c r="G408" s="10" t="s">
        <v>1087</v>
      </c>
      <c r="H408" s="9" t="s">
        <v>163</v>
      </c>
      <c r="I408" s="9" t="n">
        <v>93</v>
      </c>
      <c r="J408" s="9" t="n">
        <v>2203</v>
      </c>
      <c r="K408" s="11" t="n">
        <v>5.413</v>
      </c>
      <c r="L408" s="11" t="n">
        <v>1</v>
      </c>
      <c r="M408" s="9" t="n">
        <v>0</v>
      </c>
      <c r="N408" s="11" t="n">
        <v>0.744</v>
      </c>
      <c r="O408" s="11" t="n">
        <v>0.562</v>
      </c>
      <c r="P408" s="12"/>
      <c r="Q408" s="12"/>
      <c r="R408" s="12"/>
      <c r="S408" s="12"/>
      <c r="T408" s="9" t="s">
        <v>1082</v>
      </c>
      <c r="U408" s="9" t="s">
        <v>1087</v>
      </c>
    </row>
    <row r="409" customFormat="false" ht="15" hidden="false" customHeight="false" outlineLevel="0" collapsed="false">
      <c r="A409" s="9"/>
      <c r="B409" s="9"/>
      <c r="C409" s="9"/>
      <c r="D409" s="9"/>
      <c r="E409" s="9"/>
      <c r="F409" s="9" t="s">
        <v>1088</v>
      </c>
      <c r="G409" s="10" t="s">
        <v>1089</v>
      </c>
      <c r="H409" s="9" t="s">
        <v>1090</v>
      </c>
      <c r="I409" s="9" t="n">
        <v>24</v>
      </c>
      <c r="J409" s="9" t="n">
        <v>247</v>
      </c>
      <c r="K409" s="11" t="n">
        <v>0.607</v>
      </c>
      <c r="L409" s="11" t="n">
        <v>1</v>
      </c>
      <c r="M409" s="9" t="n">
        <v>0</v>
      </c>
      <c r="N409" s="11" t="n">
        <v>0</v>
      </c>
      <c r="O409" s="11" t="n">
        <v>0.55</v>
      </c>
      <c r="P409" s="12"/>
      <c r="Q409" s="12"/>
      <c r="R409" s="12"/>
      <c r="S409" s="12"/>
      <c r="T409" s="9" t="s">
        <v>1082</v>
      </c>
      <c r="U409" s="9" t="s">
        <v>1089</v>
      </c>
    </row>
    <row r="410" customFormat="false" ht="15" hidden="false" customHeight="false" outlineLevel="0" collapsed="false">
      <c r="A410" s="7" t="s">
        <v>43</v>
      </c>
      <c r="B410" s="7" t="s">
        <v>1091</v>
      </c>
      <c r="C410" s="8" t="s">
        <v>1092</v>
      </c>
      <c r="D410" s="7" t="s">
        <v>1093</v>
      </c>
      <c r="E410" s="7" t="n">
        <v>11167</v>
      </c>
      <c r="F410" s="9" t="s">
        <v>1091</v>
      </c>
      <c r="G410" s="10" t="s">
        <v>1094</v>
      </c>
      <c r="H410" s="9" t="s">
        <v>1095</v>
      </c>
      <c r="I410" s="9" t="n">
        <v>637</v>
      </c>
      <c r="J410" s="9" t="n">
        <v>9094</v>
      </c>
      <c r="K410" s="11" t="n">
        <v>0.848</v>
      </c>
      <c r="L410" s="11" t="n">
        <v>1</v>
      </c>
      <c r="M410" s="9" t="n">
        <v>1</v>
      </c>
      <c r="N410" s="11" t="n">
        <v>1</v>
      </c>
      <c r="O410" s="11" t="n">
        <v>1</v>
      </c>
      <c r="P410" s="12"/>
      <c r="Q410" s="12"/>
      <c r="R410" s="12"/>
      <c r="S410" s="12"/>
      <c r="T410" s="9" t="s">
        <v>1096</v>
      </c>
      <c r="U410" s="9" t="s">
        <v>1094</v>
      </c>
    </row>
    <row r="411" customFormat="false" ht="15" hidden="false" customHeight="false" outlineLevel="0" collapsed="false">
      <c r="A411" s="9"/>
      <c r="B411" s="9"/>
      <c r="C411" s="9"/>
      <c r="D411" s="9"/>
      <c r="E411" s="9"/>
      <c r="F411" s="9" t="s">
        <v>1097</v>
      </c>
      <c r="G411" s="10" t="s">
        <v>1098</v>
      </c>
      <c r="H411" s="9"/>
      <c r="I411" s="9" t="n">
        <v>7</v>
      </c>
      <c r="J411" s="9" t="n">
        <v>17</v>
      </c>
      <c r="K411" s="11" t="n">
        <v>0.002</v>
      </c>
      <c r="L411" s="11" t="n">
        <v>1</v>
      </c>
      <c r="M411" s="9" t="n">
        <v>1</v>
      </c>
      <c r="N411" s="11" t="n">
        <v>1</v>
      </c>
      <c r="O411" s="11" t="n">
        <v>0.9</v>
      </c>
      <c r="P411" s="12"/>
      <c r="Q411" s="12"/>
      <c r="R411" s="12"/>
      <c r="S411" s="12"/>
      <c r="T411" s="9" t="s">
        <v>1096</v>
      </c>
      <c r="U411" s="9" t="s">
        <v>1098</v>
      </c>
    </row>
    <row r="412" customFormat="false" ht="15" hidden="false" customHeight="false" outlineLevel="0" collapsed="false">
      <c r="A412" s="9"/>
      <c r="B412" s="9"/>
      <c r="C412" s="9"/>
      <c r="D412" s="9"/>
      <c r="E412" s="9"/>
      <c r="F412" s="9" t="s">
        <v>1091</v>
      </c>
      <c r="G412" s="10" t="s">
        <v>1099</v>
      </c>
      <c r="H412" s="9" t="s">
        <v>1100</v>
      </c>
      <c r="I412" s="9" t="n">
        <v>3</v>
      </c>
      <c r="J412" s="9" t="n">
        <v>0</v>
      </c>
      <c r="K412" s="11" t="n">
        <v>0</v>
      </c>
      <c r="L412" s="11" t="n">
        <v>1</v>
      </c>
      <c r="M412" s="9" t="n">
        <v>1</v>
      </c>
      <c r="N412" s="11" t="n">
        <v>1</v>
      </c>
      <c r="O412" s="11" t="n">
        <v>0.9</v>
      </c>
      <c r="P412" s="12"/>
      <c r="Q412" s="12"/>
      <c r="R412" s="12"/>
      <c r="S412" s="12"/>
      <c r="T412" s="9" t="s">
        <v>1096</v>
      </c>
      <c r="U412" s="9" t="s">
        <v>1099</v>
      </c>
    </row>
    <row r="413" customFormat="false" ht="15" hidden="false" customHeight="false" outlineLevel="0" collapsed="false">
      <c r="A413" s="9"/>
      <c r="B413" s="9"/>
      <c r="C413" s="9"/>
      <c r="D413" s="9"/>
      <c r="E413" s="9"/>
      <c r="F413" s="9" t="s">
        <v>1101</v>
      </c>
      <c r="G413" s="10" t="s">
        <v>1102</v>
      </c>
      <c r="H413" s="9" t="s">
        <v>1103</v>
      </c>
      <c r="I413" s="9" t="n">
        <v>123</v>
      </c>
      <c r="J413" s="9" t="n">
        <v>74</v>
      </c>
      <c r="K413" s="11" t="n">
        <v>0.007</v>
      </c>
      <c r="L413" s="11" t="n">
        <v>1</v>
      </c>
      <c r="M413" s="9" t="n">
        <v>1</v>
      </c>
      <c r="N413" s="11" t="n">
        <v>0.605</v>
      </c>
      <c r="O413" s="11" t="n">
        <v>0.841</v>
      </c>
      <c r="P413" s="12"/>
      <c r="Q413" s="12"/>
      <c r="R413" s="12"/>
      <c r="S413" s="12"/>
      <c r="T413" s="9" t="s">
        <v>1096</v>
      </c>
      <c r="U413" s="9" t="s">
        <v>1102</v>
      </c>
    </row>
    <row r="414" customFormat="false" ht="15" hidden="false" customHeight="false" outlineLevel="0" collapsed="false">
      <c r="A414" s="9"/>
      <c r="B414" s="9"/>
      <c r="C414" s="9"/>
      <c r="D414" s="9"/>
      <c r="E414" s="9"/>
      <c r="F414" s="9" t="s">
        <v>1091</v>
      </c>
      <c r="G414" s="10" t="s">
        <v>1104</v>
      </c>
      <c r="H414" s="9"/>
      <c r="I414" s="9" t="n">
        <v>3</v>
      </c>
      <c r="J414" s="9" t="n">
        <v>3</v>
      </c>
      <c r="K414" s="11" t="n">
        <v>0</v>
      </c>
      <c r="L414" s="11" t="n">
        <v>1</v>
      </c>
      <c r="M414" s="9" t="n">
        <v>0</v>
      </c>
      <c r="N414" s="11" t="n">
        <v>1</v>
      </c>
      <c r="O414" s="11" t="n">
        <v>0.6</v>
      </c>
      <c r="P414" s="12"/>
      <c r="Q414" s="12"/>
      <c r="R414" s="12"/>
      <c r="S414" s="12"/>
      <c r="T414" s="9" t="s">
        <v>1096</v>
      </c>
      <c r="U414" s="9" t="s">
        <v>1104</v>
      </c>
    </row>
    <row r="415" customFormat="false" ht="15" hidden="false" customHeight="false" outlineLevel="0" collapsed="false">
      <c r="A415" s="7" t="s">
        <v>43</v>
      </c>
      <c r="B415" s="7" t="s">
        <v>1105</v>
      </c>
      <c r="C415" s="8" t="s">
        <v>81</v>
      </c>
      <c r="D415" s="7" t="s">
        <v>1106</v>
      </c>
      <c r="E415" s="7" t="n">
        <v>9571</v>
      </c>
      <c r="F415" s="9" t="s">
        <v>1107</v>
      </c>
      <c r="G415" s="10" t="s">
        <v>1108</v>
      </c>
      <c r="H415" s="9" t="s">
        <v>81</v>
      </c>
      <c r="I415" s="9" t="n">
        <v>371</v>
      </c>
      <c r="J415" s="9" t="n">
        <v>4675</v>
      </c>
      <c r="K415" s="11" t="n">
        <v>0.528</v>
      </c>
      <c r="L415" s="11" t="n">
        <v>1</v>
      </c>
      <c r="M415" s="9" t="n">
        <v>1</v>
      </c>
      <c r="N415" s="11" t="n">
        <v>1</v>
      </c>
      <c r="O415" s="11" t="n">
        <v>1</v>
      </c>
      <c r="P415" s="12"/>
      <c r="Q415" s="12"/>
      <c r="R415" s="12"/>
      <c r="S415" s="12"/>
      <c r="T415" s="9" t="s">
        <v>1109</v>
      </c>
      <c r="U415" s="9" t="s">
        <v>1108</v>
      </c>
    </row>
    <row r="416" customFormat="false" ht="15" hidden="false" customHeight="false" outlineLevel="0" collapsed="false">
      <c r="A416" s="9"/>
      <c r="B416" s="9"/>
      <c r="C416" s="9"/>
      <c r="D416" s="9"/>
      <c r="E416" s="9"/>
      <c r="F416" s="9" t="s">
        <v>1107</v>
      </c>
      <c r="G416" s="10" t="s">
        <v>1110</v>
      </c>
      <c r="H416" s="9" t="s">
        <v>586</v>
      </c>
      <c r="I416" s="9" t="n">
        <v>1</v>
      </c>
      <c r="J416" s="9" t="n">
        <v>0</v>
      </c>
      <c r="K416" s="11" t="n">
        <v>0</v>
      </c>
      <c r="L416" s="11" t="n">
        <v>1</v>
      </c>
      <c r="M416" s="9" t="n">
        <v>1</v>
      </c>
      <c r="N416" s="11" t="n">
        <v>1</v>
      </c>
      <c r="O416" s="11" t="n">
        <v>0.9</v>
      </c>
      <c r="P416" s="12"/>
      <c r="Q416" s="12"/>
      <c r="R416" s="12"/>
      <c r="S416" s="12"/>
      <c r="T416" s="9" t="s">
        <v>1109</v>
      </c>
      <c r="U416" s="9" t="s">
        <v>1110</v>
      </c>
    </row>
    <row r="417" customFormat="false" ht="15" hidden="false" customHeight="false" outlineLevel="0" collapsed="false">
      <c r="A417" s="9"/>
      <c r="B417" s="9"/>
      <c r="C417" s="9"/>
      <c r="D417" s="9"/>
      <c r="E417" s="9"/>
      <c r="F417" s="9" t="s">
        <v>1107</v>
      </c>
      <c r="G417" s="10" t="s">
        <v>1111</v>
      </c>
      <c r="H417" s="9" t="s">
        <v>81</v>
      </c>
      <c r="I417" s="9" t="n">
        <v>11</v>
      </c>
      <c r="J417" s="9" t="n">
        <v>1</v>
      </c>
      <c r="K417" s="11" t="n">
        <v>0</v>
      </c>
      <c r="L417" s="11" t="n">
        <v>1</v>
      </c>
      <c r="M417" s="9" t="n">
        <v>1</v>
      </c>
      <c r="N417" s="11" t="n">
        <v>0.867</v>
      </c>
      <c r="O417" s="11" t="n">
        <v>0.88</v>
      </c>
      <c r="P417" s="12"/>
      <c r="Q417" s="12"/>
      <c r="R417" s="12"/>
      <c r="S417" s="12"/>
      <c r="T417" s="9" t="s">
        <v>1109</v>
      </c>
      <c r="U417" s="9" t="s">
        <v>1111</v>
      </c>
    </row>
    <row r="418" customFormat="false" ht="15" hidden="false" customHeight="false" outlineLevel="0" collapsed="false">
      <c r="A418" s="9"/>
      <c r="B418" s="9"/>
      <c r="C418" s="9"/>
      <c r="D418" s="9"/>
      <c r="E418" s="9"/>
      <c r="F418" s="9" t="s">
        <v>1107</v>
      </c>
      <c r="G418" s="10" t="s">
        <v>1112</v>
      </c>
      <c r="H418" s="9" t="s">
        <v>81</v>
      </c>
      <c r="I418" s="9" t="n">
        <v>1</v>
      </c>
      <c r="J418" s="9" t="n">
        <v>3</v>
      </c>
      <c r="K418" s="11" t="n">
        <v>0</v>
      </c>
      <c r="L418" s="11" t="n">
        <v>1</v>
      </c>
      <c r="M418" s="9" t="n">
        <v>1</v>
      </c>
      <c r="N418" s="11" t="n">
        <v>0.667</v>
      </c>
      <c r="O418" s="11" t="n">
        <v>0.85</v>
      </c>
      <c r="P418" s="12"/>
      <c r="Q418" s="12"/>
      <c r="R418" s="12"/>
      <c r="S418" s="12"/>
      <c r="T418" s="9" t="s">
        <v>1109</v>
      </c>
      <c r="U418" s="9" t="s">
        <v>1112</v>
      </c>
    </row>
    <row r="419" customFormat="false" ht="15" hidden="false" customHeight="false" outlineLevel="0" collapsed="false">
      <c r="A419" s="9"/>
      <c r="B419" s="9"/>
      <c r="C419" s="9"/>
      <c r="D419" s="9"/>
      <c r="E419" s="9"/>
      <c r="F419" s="9" t="s">
        <v>1107</v>
      </c>
      <c r="G419" s="10" t="s">
        <v>1113</v>
      </c>
      <c r="H419" s="9" t="s">
        <v>1114</v>
      </c>
      <c r="I419" s="9" t="n">
        <v>76</v>
      </c>
      <c r="J419" s="9" t="n">
        <v>973</v>
      </c>
      <c r="K419" s="11" t="n">
        <v>0.11</v>
      </c>
      <c r="L419" s="11" t="n">
        <v>1</v>
      </c>
      <c r="M419" s="9" t="n">
        <v>0</v>
      </c>
      <c r="N419" s="11" t="n">
        <v>0.885</v>
      </c>
      <c r="O419" s="11" t="n">
        <v>0.683</v>
      </c>
      <c r="P419" s="12"/>
      <c r="Q419" s="12"/>
      <c r="R419" s="12"/>
      <c r="S419" s="12"/>
      <c r="T419" s="9" t="s">
        <v>1109</v>
      </c>
      <c r="U419" s="9" t="s">
        <v>1113</v>
      </c>
    </row>
    <row r="420" customFormat="false" ht="15" hidden="false" customHeight="false" outlineLevel="0" collapsed="false">
      <c r="A420" s="7" t="s">
        <v>43</v>
      </c>
      <c r="B420" s="7" t="s">
        <v>1115</v>
      </c>
      <c r="C420" s="8" t="s">
        <v>380</v>
      </c>
      <c r="D420" s="7" t="s">
        <v>1116</v>
      </c>
      <c r="E420" s="7" t="n">
        <v>5212</v>
      </c>
      <c r="F420" s="9" t="s">
        <v>1115</v>
      </c>
      <c r="G420" s="10" t="s">
        <v>1117</v>
      </c>
      <c r="H420" s="9" t="s">
        <v>380</v>
      </c>
      <c r="I420" s="9" t="n">
        <v>83</v>
      </c>
      <c r="J420" s="9" t="n">
        <v>2829</v>
      </c>
      <c r="K420" s="11" t="n">
        <v>0.592</v>
      </c>
      <c r="L420" s="11" t="n">
        <v>1</v>
      </c>
      <c r="M420" s="9" t="n">
        <v>1</v>
      </c>
      <c r="N420" s="11" t="n">
        <v>1</v>
      </c>
      <c r="O420" s="11" t="n">
        <v>1</v>
      </c>
      <c r="P420" s="12"/>
      <c r="Q420" s="12"/>
      <c r="R420" s="12"/>
      <c r="S420" s="12"/>
      <c r="T420" s="9" t="s">
        <v>1118</v>
      </c>
      <c r="U420" s="9" t="s">
        <v>1117</v>
      </c>
    </row>
    <row r="421" customFormat="false" ht="15" hidden="false" customHeight="false" outlineLevel="0" collapsed="false">
      <c r="A421" s="9"/>
      <c r="B421" s="9"/>
      <c r="C421" s="9"/>
      <c r="D421" s="9"/>
      <c r="E421" s="9"/>
      <c r="F421" s="9" t="s">
        <v>1119</v>
      </c>
      <c r="G421" s="10" t="s">
        <v>1120</v>
      </c>
      <c r="H421" s="9"/>
      <c r="I421" s="9" t="n">
        <v>15</v>
      </c>
      <c r="J421" s="9" t="n">
        <v>177</v>
      </c>
      <c r="K421" s="11" t="n">
        <v>0.037</v>
      </c>
      <c r="L421" s="11" t="n">
        <v>1</v>
      </c>
      <c r="M421" s="9" t="n">
        <v>1</v>
      </c>
      <c r="N421" s="11" t="n">
        <v>1</v>
      </c>
      <c r="O421" s="11" t="n">
        <v>0.95</v>
      </c>
      <c r="P421" s="12"/>
      <c r="Q421" s="12"/>
      <c r="R421" s="12"/>
      <c r="S421" s="12"/>
      <c r="T421" s="9" t="s">
        <v>1118</v>
      </c>
      <c r="U421" s="9" t="s">
        <v>1120</v>
      </c>
    </row>
    <row r="422" customFormat="false" ht="15" hidden="false" customHeight="false" outlineLevel="0" collapsed="false">
      <c r="A422" s="9"/>
      <c r="B422" s="9"/>
      <c r="C422" s="9"/>
      <c r="D422" s="9"/>
      <c r="E422" s="9"/>
      <c r="F422" s="9" t="s">
        <v>1121</v>
      </c>
      <c r="G422" s="10" t="s">
        <v>1122</v>
      </c>
      <c r="H422" s="9"/>
      <c r="I422" s="9" t="n">
        <v>1</v>
      </c>
      <c r="J422" s="9" t="n">
        <v>0</v>
      </c>
      <c r="K422" s="11" t="n">
        <v>0</v>
      </c>
      <c r="L422" s="11" t="n">
        <v>0.609</v>
      </c>
      <c r="M422" s="9" t="n">
        <v>0</v>
      </c>
      <c r="N422" s="11" t="n">
        <v>1</v>
      </c>
      <c r="O422" s="11" t="n">
        <v>0.424</v>
      </c>
      <c r="P422" s="12"/>
      <c r="Q422" s="12"/>
      <c r="R422" s="12"/>
      <c r="S422" s="12"/>
      <c r="T422" s="9" t="s">
        <v>1118</v>
      </c>
      <c r="U422" s="9" t="s">
        <v>1122</v>
      </c>
    </row>
    <row r="423" customFormat="false" ht="15" hidden="false" customHeight="false" outlineLevel="0" collapsed="false">
      <c r="A423" s="7" t="s">
        <v>43</v>
      </c>
      <c r="B423" s="7" t="s">
        <v>1123</v>
      </c>
      <c r="C423" s="8" t="s">
        <v>309</v>
      </c>
      <c r="D423" s="7" t="s">
        <v>1124</v>
      </c>
      <c r="E423" s="7" t="n">
        <v>1516</v>
      </c>
      <c r="F423" s="9" t="s">
        <v>1123</v>
      </c>
      <c r="G423" s="10" t="s">
        <v>1125</v>
      </c>
      <c r="H423" s="9" t="s">
        <v>1126</v>
      </c>
      <c r="I423" s="9" t="n">
        <v>159</v>
      </c>
      <c r="J423" s="9" t="n">
        <v>1852</v>
      </c>
      <c r="K423" s="11" t="n">
        <v>1.316</v>
      </c>
      <c r="L423" s="11" t="n">
        <v>1</v>
      </c>
      <c r="M423" s="9" t="n">
        <v>1</v>
      </c>
      <c r="N423" s="11" t="n">
        <v>0.137</v>
      </c>
      <c r="O423" s="11" t="n">
        <v>0.871</v>
      </c>
      <c r="P423" s="12"/>
      <c r="Q423" s="12"/>
      <c r="R423" s="12"/>
      <c r="S423" s="12"/>
      <c r="T423" s="9" t="s">
        <v>1127</v>
      </c>
      <c r="U423" s="9" t="s">
        <v>1125</v>
      </c>
    </row>
    <row r="424" customFormat="false" ht="15" hidden="false" customHeight="false" outlineLevel="0" collapsed="false">
      <c r="A424" s="9"/>
      <c r="B424" s="9"/>
      <c r="C424" s="9"/>
      <c r="D424" s="9"/>
      <c r="E424" s="9"/>
      <c r="F424" s="9" t="s">
        <v>1123</v>
      </c>
      <c r="G424" s="10" t="s">
        <v>1128</v>
      </c>
      <c r="H424" s="9" t="s">
        <v>1129</v>
      </c>
      <c r="I424" s="9" t="n">
        <v>96</v>
      </c>
      <c r="J424" s="9" t="n">
        <v>1935</v>
      </c>
      <c r="K424" s="11" t="n">
        <v>1.375</v>
      </c>
      <c r="L424" s="11" t="n">
        <v>1</v>
      </c>
      <c r="M424" s="9" t="n">
        <v>1</v>
      </c>
      <c r="N424" s="11" t="n">
        <v>0</v>
      </c>
      <c r="O424" s="11" t="n">
        <v>0.85</v>
      </c>
      <c r="P424" s="12"/>
      <c r="Q424" s="12"/>
      <c r="R424" s="12"/>
      <c r="S424" s="12"/>
      <c r="T424" s="9" t="s">
        <v>1127</v>
      </c>
      <c r="U424" s="9" t="s">
        <v>1128</v>
      </c>
    </row>
    <row r="425" customFormat="false" ht="15" hidden="false" customHeight="false" outlineLevel="0" collapsed="false">
      <c r="A425" s="9"/>
      <c r="B425" s="9"/>
      <c r="C425" s="9"/>
      <c r="D425" s="9"/>
      <c r="E425" s="9"/>
      <c r="F425" s="9" t="s">
        <v>1123</v>
      </c>
      <c r="G425" s="10" t="s">
        <v>1130</v>
      </c>
      <c r="H425" s="9" t="s">
        <v>1131</v>
      </c>
      <c r="I425" s="9" t="n">
        <v>78</v>
      </c>
      <c r="J425" s="9" t="n">
        <v>3380</v>
      </c>
      <c r="K425" s="11" t="n">
        <v>2.402</v>
      </c>
      <c r="L425" s="11" t="n">
        <v>1</v>
      </c>
      <c r="M425" s="9" t="n">
        <v>1</v>
      </c>
      <c r="N425" s="11" t="n">
        <v>0.257</v>
      </c>
      <c r="O425" s="11" t="n">
        <v>0.839</v>
      </c>
      <c r="P425" s="12"/>
      <c r="Q425" s="12"/>
      <c r="R425" s="12"/>
      <c r="S425" s="12"/>
      <c r="T425" s="9" t="s">
        <v>1127</v>
      </c>
      <c r="U425" s="9" t="s">
        <v>1130</v>
      </c>
    </row>
    <row r="426" customFormat="false" ht="15" hidden="false" customHeight="false" outlineLevel="0" collapsed="false">
      <c r="A426" s="9"/>
      <c r="B426" s="9"/>
      <c r="C426" s="9"/>
      <c r="D426" s="9"/>
      <c r="E426" s="9"/>
      <c r="F426" s="9" t="s">
        <v>1123</v>
      </c>
      <c r="G426" s="10" t="s">
        <v>1132</v>
      </c>
      <c r="H426" s="9" t="s">
        <v>1133</v>
      </c>
      <c r="I426" s="9" t="n">
        <v>242</v>
      </c>
      <c r="J426" s="9" t="n">
        <v>2284</v>
      </c>
      <c r="K426" s="11" t="n">
        <v>1.623</v>
      </c>
      <c r="L426" s="11" t="n">
        <v>1</v>
      </c>
      <c r="M426" s="9" t="n">
        <v>1</v>
      </c>
      <c r="N426" s="11" t="n">
        <v>0</v>
      </c>
      <c r="O426" s="11" t="n">
        <v>0.8</v>
      </c>
      <c r="P426" s="12"/>
      <c r="Q426" s="12"/>
      <c r="R426" s="12"/>
      <c r="S426" s="12"/>
      <c r="T426" s="9" t="s">
        <v>1127</v>
      </c>
      <c r="U426" s="9" t="s">
        <v>1132</v>
      </c>
    </row>
    <row r="427" customFormat="false" ht="15" hidden="false" customHeight="false" outlineLevel="0" collapsed="false">
      <c r="A427" s="9"/>
      <c r="B427" s="9"/>
      <c r="C427" s="9"/>
      <c r="D427" s="9"/>
      <c r="E427" s="9"/>
      <c r="F427" s="9" t="s">
        <v>1123</v>
      </c>
      <c r="G427" s="10" t="s">
        <v>1134</v>
      </c>
      <c r="H427" s="9" t="s">
        <v>1135</v>
      </c>
      <c r="I427" s="9" t="n">
        <v>58</v>
      </c>
      <c r="J427" s="9" t="n">
        <v>861</v>
      </c>
      <c r="K427" s="11" t="n">
        <v>0.612</v>
      </c>
      <c r="L427" s="11" t="n">
        <v>1</v>
      </c>
      <c r="M427" s="9" t="n">
        <v>0.5</v>
      </c>
      <c r="N427" s="11" t="n">
        <v>0.36</v>
      </c>
      <c r="O427" s="11" t="n">
        <v>0.754</v>
      </c>
      <c r="P427" s="12"/>
      <c r="Q427" s="12"/>
      <c r="R427" s="12"/>
      <c r="S427" s="12"/>
      <c r="T427" s="9" t="s">
        <v>1127</v>
      </c>
      <c r="U427" s="9" t="s">
        <v>1134</v>
      </c>
    </row>
    <row r="428" customFormat="false" ht="15" hidden="false" customHeight="false" outlineLevel="0" collapsed="false">
      <c r="A428" s="7" t="s">
        <v>43</v>
      </c>
      <c r="B428" s="7" t="s">
        <v>1136</v>
      </c>
      <c r="C428" s="8" t="s">
        <v>253</v>
      </c>
      <c r="D428" s="7" t="s">
        <v>1137</v>
      </c>
      <c r="E428" s="7" t="n">
        <v>4422</v>
      </c>
      <c r="F428" s="9" t="s">
        <v>1138</v>
      </c>
      <c r="G428" s="10" t="s">
        <v>1139</v>
      </c>
      <c r="H428" s="9" t="s">
        <v>1140</v>
      </c>
      <c r="I428" s="9" t="n">
        <v>166</v>
      </c>
      <c r="J428" s="9" t="n">
        <v>2692</v>
      </c>
      <c r="K428" s="11" t="n">
        <v>0.706</v>
      </c>
      <c r="L428" s="11" t="n">
        <v>1</v>
      </c>
      <c r="M428" s="9" t="n">
        <v>1</v>
      </c>
      <c r="N428" s="11" t="n">
        <v>0.905</v>
      </c>
      <c r="O428" s="11" t="n">
        <v>0.986</v>
      </c>
      <c r="P428" s="12"/>
      <c r="Q428" s="12"/>
      <c r="R428" s="12"/>
      <c r="S428" s="12"/>
      <c r="T428" s="9" t="s">
        <v>1141</v>
      </c>
      <c r="U428" s="9" t="s">
        <v>1139</v>
      </c>
    </row>
    <row r="429" customFormat="false" ht="15" hidden="false" customHeight="false" outlineLevel="0" collapsed="false">
      <c r="A429" s="9"/>
      <c r="B429" s="9"/>
      <c r="C429" s="9"/>
      <c r="D429" s="9"/>
      <c r="E429" s="9"/>
      <c r="F429" s="9" t="s">
        <v>1136</v>
      </c>
      <c r="G429" s="10" t="s">
        <v>1142</v>
      </c>
      <c r="H429" s="9" t="s">
        <v>1140</v>
      </c>
      <c r="I429" s="9" t="n">
        <v>42</v>
      </c>
      <c r="J429" s="9" t="n">
        <v>111</v>
      </c>
      <c r="K429" s="11" t="n">
        <v>0.029</v>
      </c>
      <c r="L429" s="11" t="n">
        <v>1</v>
      </c>
      <c r="M429" s="9" t="n">
        <v>1</v>
      </c>
      <c r="N429" s="11" t="n">
        <v>0.744</v>
      </c>
      <c r="O429" s="11" t="n">
        <v>0.862</v>
      </c>
      <c r="P429" s="12"/>
      <c r="Q429" s="12"/>
      <c r="R429" s="12"/>
      <c r="S429" s="12"/>
      <c r="T429" s="9" t="s">
        <v>1141</v>
      </c>
      <c r="U429" s="9" t="s">
        <v>1142</v>
      </c>
    </row>
    <row r="430" customFormat="false" ht="15" hidden="false" customHeight="false" outlineLevel="0" collapsed="false">
      <c r="A430" s="9"/>
      <c r="B430" s="9"/>
      <c r="C430" s="9"/>
      <c r="D430" s="9"/>
      <c r="E430" s="9"/>
      <c r="F430" s="9" t="s">
        <v>1136</v>
      </c>
      <c r="G430" s="10" t="s">
        <v>1143</v>
      </c>
      <c r="H430" s="9"/>
      <c r="I430" s="9" t="n">
        <v>7</v>
      </c>
      <c r="J430" s="9" t="n">
        <v>0</v>
      </c>
      <c r="K430" s="11" t="n">
        <v>0</v>
      </c>
      <c r="L430" s="11" t="n">
        <v>1</v>
      </c>
      <c r="M430" s="9" t="n">
        <v>0</v>
      </c>
      <c r="N430" s="11" t="n">
        <v>0.846</v>
      </c>
      <c r="O430" s="11" t="n">
        <v>0.577</v>
      </c>
      <c r="P430" s="12"/>
      <c r="Q430" s="12"/>
      <c r="R430" s="12"/>
      <c r="S430" s="12"/>
      <c r="T430" s="9" t="s">
        <v>1141</v>
      </c>
      <c r="U430" s="9" t="s">
        <v>1143</v>
      </c>
    </row>
    <row r="431" customFormat="false" ht="15" hidden="false" customHeight="false" outlineLevel="0" collapsed="false">
      <c r="A431" s="9"/>
      <c r="B431" s="9"/>
      <c r="C431" s="9"/>
      <c r="D431" s="9"/>
      <c r="E431" s="9"/>
      <c r="F431" s="9" t="s">
        <v>1144</v>
      </c>
      <c r="G431" s="10" t="s">
        <v>1145</v>
      </c>
      <c r="H431" s="9" t="s">
        <v>1140</v>
      </c>
      <c r="I431" s="9" t="n">
        <v>2</v>
      </c>
      <c r="J431" s="9" t="n">
        <v>0</v>
      </c>
      <c r="K431" s="11" t="n">
        <v>0</v>
      </c>
      <c r="L431" s="11" t="n">
        <v>0.883</v>
      </c>
      <c r="M431" s="9" t="n">
        <v>0</v>
      </c>
      <c r="N431" s="11" t="n">
        <v>1</v>
      </c>
      <c r="O431" s="11" t="n">
        <v>0.547</v>
      </c>
      <c r="P431" s="12"/>
      <c r="Q431" s="12"/>
      <c r="R431" s="12"/>
      <c r="S431" s="12"/>
      <c r="T431" s="9" t="s">
        <v>1141</v>
      </c>
      <c r="U431" s="9" t="s">
        <v>1145</v>
      </c>
    </row>
    <row r="432" customFormat="false" ht="15" hidden="false" customHeight="false" outlineLevel="0" collapsed="false">
      <c r="A432" s="9"/>
      <c r="B432" s="9"/>
      <c r="C432" s="9"/>
      <c r="D432" s="9"/>
      <c r="E432" s="9"/>
      <c r="F432" s="9" t="s">
        <v>1138</v>
      </c>
      <c r="G432" s="10" t="s">
        <v>1146</v>
      </c>
      <c r="H432" s="9" t="s">
        <v>1140</v>
      </c>
      <c r="I432" s="9" t="n">
        <v>1</v>
      </c>
      <c r="J432" s="9" t="n">
        <v>0</v>
      </c>
      <c r="K432" s="11" t="n">
        <v>0</v>
      </c>
      <c r="L432" s="11" t="n">
        <v>0.764</v>
      </c>
      <c r="M432" s="9" t="n">
        <v>0</v>
      </c>
      <c r="N432" s="11" t="n">
        <v>1</v>
      </c>
      <c r="O432" s="11" t="n">
        <v>0.494</v>
      </c>
      <c r="P432" s="12"/>
      <c r="Q432" s="12"/>
      <c r="R432" s="12"/>
      <c r="S432" s="12"/>
      <c r="T432" s="9" t="s">
        <v>1141</v>
      </c>
      <c r="U432" s="9" t="s">
        <v>1146</v>
      </c>
    </row>
    <row r="433" customFormat="false" ht="15" hidden="false" customHeight="false" outlineLevel="0" collapsed="false">
      <c r="A433" s="7" t="s">
        <v>43</v>
      </c>
      <c r="B433" s="7" t="s">
        <v>1147</v>
      </c>
      <c r="C433" s="8" t="s">
        <v>1148</v>
      </c>
      <c r="D433" s="7" t="s">
        <v>1149</v>
      </c>
      <c r="E433" s="7" t="n">
        <v>1851</v>
      </c>
      <c r="F433" s="9" t="s">
        <v>1147</v>
      </c>
      <c r="G433" s="10" t="s">
        <v>1150</v>
      </c>
      <c r="H433" s="9" t="s">
        <v>1148</v>
      </c>
      <c r="I433" s="9" t="n">
        <v>27</v>
      </c>
      <c r="J433" s="9" t="n">
        <v>485</v>
      </c>
      <c r="K433" s="11" t="n">
        <v>0.262</v>
      </c>
      <c r="L433" s="11" t="n">
        <v>1</v>
      </c>
      <c r="M433" s="9" t="n">
        <v>1</v>
      </c>
      <c r="N433" s="11" t="n">
        <v>0.65</v>
      </c>
      <c r="O433" s="11" t="n">
        <v>0.948</v>
      </c>
      <c r="P433" s="12"/>
      <c r="Q433" s="12"/>
      <c r="R433" s="12"/>
      <c r="S433" s="12"/>
      <c r="T433" s="9" t="s">
        <v>1151</v>
      </c>
      <c r="U433" s="9" t="s">
        <v>1150</v>
      </c>
    </row>
    <row r="434" customFormat="false" ht="15" hidden="false" customHeight="false" outlineLevel="0" collapsed="false">
      <c r="A434" s="9"/>
      <c r="B434" s="9"/>
      <c r="C434" s="9"/>
      <c r="D434" s="9"/>
      <c r="E434" s="9"/>
      <c r="F434" s="9" t="s">
        <v>1152</v>
      </c>
      <c r="G434" s="10" t="s">
        <v>1153</v>
      </c>
      <c r="H434" s="9" t="s">
        <v>1148</v>
      </c>
      <c r="I434" s="9" t="n">
        <v>20</v>
      </c>
      <c r="J434" s="9" t="n">
        <v>513</v>
      </c>
      <c r="K434" s="11" t="n">
        <v>0.277</v>
      </c>
      <c r="L434" s="11" t="n">
        <v>1</v>
      </c>
      <c r="M434" s="9" t="n">
        <v>1</v>
      </c>
      <c r="N434" s="11" t="n">
        <v>0.65</v>
      </c>
      <c r="O434" s="11" t="n">
        <v>0.948</v>
      </c>
      <c r="P434" s="12"/>
      <c r="Q434" s="12"/>
      <c r="R434" s="12"/>
      <c r="S434" s="12"/>
      <c r="T434" s="9" t="s">
        <v>1151</v>
      </c>
      <c r="U434" s="9" t="s">
        <v>1153</v>
      </c>
    </row>
    <row r="435" customFormat="false" ht="15" hidden="false" customHeight="false" outlineLevel="0" collapsed="false">
      <c r="A435" s="9"/>
      <c r="B435" s="9"/>
      <c r="C435" s="9"/>
      <c r="D435" s="9"/>
      <c r="E435" s="9"/>
      <c r="F435" s="9" t="s">
        <v>1154</v>
      </c>
      <c r="G435" s="10" t="s">
        <v>1155</v>
      </c>
      <c r="H435" s="9"/>
      <c r="I435" s="9" t="n">
        <v>2</v>
      </c>
      <c r="J435" s="9" t="n">
        <v>1</v>
      </c>
      <c r="K435" s="11" t="n">
        <v>0.001</v>
      </c>
      <c r="L435" s="11" t="n">
        <v>1</v>
      </c>
      <c r="M435" s="9" t="n">
        <v>0</v>
      </c>
      <c r="N435" s="11" t="n">
        <v>0.333</v>
      </c>
      <c r="O435" s="11" t="n">
        <v>0.5</v>
      </c>
      <c r="P435" s="12"/>
      <c r="Q435" s="12"/>
      <c r="R435" s="12"/>
      <c r="S435" s="12"/>
      <c r="T435" s="9" t="s">
        <v>1151</v>
      </c>
      <c r="U435" s="9" t="s">
        <v>1155</v>
      </c>
    </row>
    <row r="436" customFormat="false" ht="15" hidden="false" customHeight="false" outlineLevel="0" collapsed="false">
      <c r="A436" s="7" t="s">
        <v>43</v>
      </c>
      <c r="B436" s="7" t="s">
        <v>1156</v>
      </c>
      <c r="C436" s="8" t="s">
        <v>68</v>
      </c>
      <c r="D436" s="7" t="s">
        <v>1157</v>
      </c>
      <c r="E436" s="7" t="n">
        <v>5074</v>
      </c>
      <c r="F436" s="9" t="s">
        <v>1158</v>
      </c>
      <c r="G436" s="10" t="s">
        <v>1159</v>
      </c>
      <c r="H436" s="9" t="s">
        <v>1160</v>
      </c>
      <c r="I436" s="9" t="n">
        <v>140</v>
      </c>
      <c r="J436" s="9" t="n">
        <v>3473</v>
      </c>
      <c r="K436" s="11" t="n">
        <v>0.747</v>
      </c>
      <c r="L436" s="11" t="n">
        <v>1</v>
      </c>
      <c r="M436" s="9" t="n">
        <v>1</v>
      </c>
      <c r="N436" s="11" t="n">
        <v>1</v>
      </c>
      <c r="O436" s="11" t="n">
        <v>1</v>
      </c>
      <c r="P436" s="12"/>
      <c r="Q436" s="12"/>
      <c r="R436" s="12"/>
      <c r="S436" s="12"/>
      <c r="T436" s="9" t="s">
        <v>1161</v>
      </c>
      <c r="U436" s="9" t="s">
        <v>1159</v>
      </c>
    </row>
    <row r="437" customFormat="false" ht="15" hidden="false" customHeight="false" outlineLevel="0" collapsed="false">
      <c r="A437" s="9"/>
      <c r="B437" s="9"/>
      <c r="C437" s="9"/>
      <c r="D437" s="9"/>
      <c r="E437" s="9"/>
      <c r="F437" s="9" t="s">
        <v>1156</v>
      </c>
      <c r="G437" s="10" t="s">
        <v>1162</v>
      </c>
      <c r="H437" s="9" t="s">
        <v>68</v>
      </c>
      <c r="I437" s="9" t="n">
        <v>57</v>
      </c>
      <c r="J437" s="9" t="n">
        <v>0</v>
      </c>
      <c r="K437" s="11" t="n">
        <v>0</v>
      </c>
      <c r="L437" s="11" t="n">
        <v>1</v>
      </c>
      <c r="M437" s="9" t="n">
        <v>1</v>
      </c>
      <c r="N437" s="11" t="n">
        <v>0.719</v>
      </c>
      <c r="O437" s="11" t="n">
        <v>0.858</v>
      </c>
      <c r="P437" s="12"/>
      <c r="Q437" s="12"/>
      <c r="R437" s="12"/>
      <c r="S437" s="12"/>
      <c r="T437" s="9" t="s">
        <v>1161</v>
      </c>
      <c r="U437" s="9" t="s">
        <v>1162</v>
      </c>
    </row>
    <row r="438" customFormat="false" ht="15" hidden="false" customHeight="false" outlineLevel="0" collapsed="false">
      <c r="A438" s="9"/>
      <c r="B438" s="9"/>
      <c r="C438" s="9"/>
      <c r="D438" s="9"/>
      <c r="E438" s="9"/>
      <c r="F438" s="9" t="s">
        <v>1156</v>
      </c>
      <c r="G438" s="10" t="s">
        <v>1163</v>
      </c>
      <c r="H438" s="9" t="s">
        <v>1164</v>
      </c>
      <c r="I438" s="9" t="n">
        <v>116</v>
      </c>
      <c r="J438" s="9" t="n">
        <v>73</v>
      </c>
      <c r="K438" s="11" t="n">
        <v>0.016</v>
      </c>
      <c r="L438" s="11" t="n">
        <v>1</v>
      </c>
      <c r="M438" s="9" t="n">
        <v>0</v>
      </c>
      <c r="N438" s="11" t="n">
        <v>1</v>
      </c>
      <c r="O438" s="11" t="n">
        <v>0.6</v>
      </c>
      <c r="P438" s="12"/>
      <c r="Q438" s="12"/>
      <c r="R438" s="12"/>
      <c r="S438" s="12"/>
      <c r="T438" s="9" t="s">
        <v>1161</v>
      </c>
      <c r="U438" s="9" t="s">
        <v>1163</v>
      </c>
    </row>
    <row r="439" customFormat="false" ht="15" hidden="false" customHeight="false" outlineLevel="0" collapsed="false">
      <c r="A439" s="9"/>
      <c r="B439" s="9"/>
      <c r="C439" s="9"/>
      <c r="D439" s="9"/>
      <c r="E439" s="9"/>
      <c r="F439" s="9" t="s">
        <v>1165</v>
      </c>
      <c r="G439" s="10" t="s">
        <v>1166</v>
      </c>
      <c r="H439" s="9"/>
      <c r="I439" s="9" t="n">
        <v>1</v>
      </c>
      <c r="J439" s="9" t="n">
        <v>1</v>
      </c>
      <c r="K439" s="11" t="n">
        <v>0</v>
      </c>
      <c r="L439" s="11" t="n">
        <v>1</v>
      </c>
      <c r="M439" s="9" t="n">
        <v>0</v>
      </c>
      <c r="N439" s="11" t="n">
        <v>0</v>
      </c>
      <c r="O439" s="11" t="n">
        <v>0.45</v>
      </c>
      <c r="P439" s="12"/>
      <c r="Q439" s="12"/>
      <c r="R439" s="12"/>
      <c r="S439" s="12"/>
      <c r="T439" s="9" t="s">
        <v>1161</v>
      </c>
      <c r="U439" s="9" t="s">
        <v>1166</v>
      </c>
    </row>
    <row r="440" customFormat="false" ht="15" hidden="false" customHeight="false" outlineLevel="0" collapsed="false">
      <c r="A440" s="7" t="s">
        <v>43</v>
      </c>
      <c r="B440" s="7" t="s">
        <v>1167</v>
      </c>
      <c r="C440" s="8" t="s">
        <v>514</v>
      </c>
      <c r="D440" s="7" t="s">
        <v>1168</v>
      </c>
      <c r="E440" s="7" t="n">
        <v>3724</v>
      </c>
      <c r="F440" s="9" t="s">
        <v>1167</v>
      </c>
      <c r="G440" s="10" t="s">
        <v>1169</v>
      </c>
      <c r="H440" s="9" t="s">
        <v>450</v>
      </c>
      <c r="I440" s="9" t="n">
        <v>49</v>
      </c>
      <c r="J440" s="9" t="n">
        <v>1713</v>
      </c>
      <c r="K440" s="11" t="n">
        <v>0.627</v>
      </c>
      <c r="L440" s="11" t="n">
        <v>1</v>
      </c>
      <c r="M440" s="9" t="n">
        <v>1</v>
      </c>
      <c r="N440" s="11" t="n">
        <v>0.737</v>
      </c>
      <c r="O440" s="11" t="n">
        <v>0.961</v>
      </c>
      <c r="P440" s="12"/>
      <c r="Q440" s="12"/>
      <c r="R440" s="12"/>
      <c r="S440" s="12"/>
      <c r="T440" s="9" t="s">
        <v>1170</v>
      </c>
      <c r="U440" s="9" t="s">
        <v>1169</v>
      </c>
    </row>
    <row r="441" customFormat="false" ht="15" hidden="false" customHeight="false" outlineLevel="0" collapsed="false">
      <c r="A441" s="9"/>
      <c r="B441" s="9"/>
      <c r="C441" s="9"/>
      <c r="D441" s="9"/>
      <c r="E441" s="9"/>
      <c r="F441" s="9" t="s">
        <v>1167</v>
      </c>
      <c r="G441" s="10" t="s">
        <v>1171</v>
      </c>
      <c r="H441" s="9" t="s">
        <v>1172</v>
      </c>
      <c r="I441" s="9" t="n">
        <v>173</v>
      </c>
      <c r="J441" s="9" t="n">
        <v>1529</v>
      </c>
      <c r="K441" s="11" t="n">
        <v>0.56</v>
      </c>
      <c r="L441" s="11" t="n">
        <v>1</v>
      </c>
      <c r="M441" s="9" t="n">
        <v>1</v>
      </c>
      <c r="N441" s="11" t="n">
        <v>0.133</v>
      </c>
      <c r="O441" s="11" t="n">
        <v>0.87</v>
      </c>
      <c r="P441" s="12"/>
      <c r="Q441" s="12"/>
      <c r="R441" s="12"/>
      <c r="S441" s="12"/>
      <c r="T441" s="9" t="s">
        <v>1170</v>
      </c>
      <c r="U441" s="9" t="s">
        <v>1171</v>
      </c>
    </row>
    <row r="442" customFormat="false" ht="15" hidden="false" customHeight="false" outlineLevel="0" collapsed="false">
      <c r="A442" s="9"/>
      <c r="B442" s="9"/>
      <c r="C442" s="9"/>
      <c r="D442" s="9"/>
      <c r="E442" s="9"/>
      <c r="F442" s="9" t="s">
        <v>1167</v>
      </c>
      <c r="G442" s="10" t="s">
        <v>1173</v>
      </c>
      <c r="H442" s="9" t="s">
        <v>1174</v>
      </c>
      <c r="I442" s="9" t="n">
        <v>40</v>
      </c>
      <c r="J442" s="9" t="n">
        <v>912</v>
      </c>
      <c r="K442" s="11" t="n">
        <v>0.334</v>
      </c>
      <c r="L442" s="11" t="n">
        <v>1</v>
      </c>
      <c r="M442" s="9" t="n">
        <v>0</v>
      </c>
      <c r="N442" s="11" t="n">
        <v>1</v>
      </c>
      <c r="O442" s="11" t="n">
        <v>0.7</v>
      </c>
      <c r="P442" s="12"/>
      <c r="Q442" s="12"/>
      <c r="R442" s="12"/>
      <c r="S442" s="12"/>
      <c r="T442" s="9" t="s">
        <v>1170</v>
      </c>
      <c r="U442" s="9" t="s">
        <v>1173</v>
      </c>
    </row>
    <row r="443" customFormat="false" ht="15" hidden="false" customHeight="false" outlineLevel="0" collapsed="false">
      <c r="A443" s="9"/>
      <c r="B443" s="9"/>
      <c r="C443" s="9"/>
      <c r="D443" s="9"/>
      <c r="E443" s="9"/>
      <c r="F443" s="9" t="s">
        <v>1167</v>
      </c>
      <c r="G443" s="10" t="s">
        <v>1175</v>
      </c>
      <c r="H443" s="9"/>
      <c r="I443" s="9" t="n">
        <v>83</v>
      </c>
      <c r="J443" s="9" t="n">
        <v>376</v>
      </c>
      <c r="K443" s="11" t="n">
        <v>0.138</v>
      </c>
      <c r="L443" s="11" t="n">
        <v>1</v>
      </c>
      <c r="M443" s="9" t="n">
        <v>0</v>
      </c>
      <c r="N443" s="11" t="n">
        <v>1</v>
      </c>
      <c r="O443" s="11" t="n">
        <v>0.7</v>
      </c>
      <c r="P443" s="12"/>
      <c r="Q443" s="12"/>
      <c r="R443" s="12"/>
      <c r="S443" s="12"/>
      <c r="T443" s="9" t="s">
        <v>1170</v>
      </c>
      <c r="U443" s="9" t="s">
        <v>1175</v>
      </c>
    </row>
    <row r="444" customFormat="false" ht="15" hidden="false" customHeight="false" outlineLevel="0" collapsed="false">
      <c r="A444" s="9"/>
      <c r="B444" s="9"/>
      <c r="C444" s="9"/>
      <c r="D444" s="9"/>
      <c r="E444" s="9"/>
      <c r="F444" s="9" t="s">
        <v>1176</v>
      </c>
      <c r="G444" s="10" t="s">
        <v>1177</v>
      </c>
      <c r="H444" s="9"/>
      <c r="I444" s="9" t="n">
        <v>124</v>
      </c>
      <c r="J444" s="9" t="n">
        <v>1843</v>
      </c>
      <c r="K444" s="11" t="n">
        <v>0.675</v>
      </c>
      <c r="L444" s="11" t="n">
        <v>1</v>
      </c>
      <c r="M444" s="9" t="n">
        <v>0</v>
      </c>
      <c r="N444" s="11" t="n">
        <v>0.908</v>
      </c>
      <c r="O444" s="11" t="n">
        <v>0.686</v>
      </c>
      <c r="P444" s="12"/>
      <c r="Q444" s="12"/>
      <c r="R444" s="12"/>
      <c r="S444" s="12"/>
      <c r="T444" s="9" t="s">
        <v>1170</v>
      </c>
      <c r="U444" s="9" t="s">
        <v>1177</v>
      </c>
    </row>
    <row r="445" customFormat="false" ht="15" hidden="false" customHeight="false" outlineLevel="0" collapsed="false">
      <c r="A445" s="7" t="s">
        <v>43</v>
      </c>
      <c r="B445" s="7" t="s">
        <v>1178</v>
      </c>
      <c r="C445" s="8" t="s">
        <v>370</v>
      </c>
      <c r="D445" s="7" t="s">
        <v>1179</v>
      </c>
      <c r="E445" s="7" t="n">
        <v>1607</v>
      </c>
      <c r="F445" s="9" t="s">
        <v>1178</v>
      </c>
      <c r="G445" s="10" t="s">
        <v>1180</v>
      </c>
      <c r="H445" s="9"/>
      <c r="I445" s="9" t="n">
        <v>85</v>
      </c>
      <c r="J445" s="9" t="n">
        <v>1103</v>
      </c>
      <c r="K445" s="11" t="n">
        <v>0.725</v>
      </c>
      <c r="L445" s="11" t="n">
        <v>1</v>
      </c>
      <c r="M445" s="9" t="n">
        <v>1</v>
      </c>
      <c r="N445" s="11" t="n">
        <v>0.8</v>
      </c>
      <c r="O445" s="11" t="n">
        <v>0.97</v>
      </c>
      <c r="P445" s="12"/>
      <c r="Q445" s="12"/>
      <c r="R445" s="12"/>
      <c r="S445" s="12"/>
      <c r="T445" s="9" t="s">
        <v>1181</v>
      </c>
      <c r="U445" s="9" t="s">
        <v>1180</v>
      </c>
    </row>
    <row r="446" customFormat="false" ht="15" hidden="false" customHeight="false" outlineLevel="0" collapsed="false">
      <c r="A446" s="9"/>
      <c r="B446" s="9"/>
      <c r="C446" s="9"/>
      <c r="D446" s="9"/>
      <c r="E446" s="9"/>
      <c r="F446" s="9" t="s">
        <v>1178</v>
      </c>
      <c r="G446" s="10" t="s">
        <v>1182</v>
      </c>
      <c r="H446" s="9" t="s">
        <v>370</v>
      </c>
      <c r="I446" s="9" t="n">
        <v>96</v>
      </c>
      <c r="J446" s="9" t="n">
        <v>883</v>
      </c>
      <c r="K446" s="11" t="n">
        <v>0.58</v>
      </c>
      <c r="L446" s="11" t="n">
        <v>1</v>
      </c>
      <c r="M446" s="9" t="n">
        <v>1</v>
      </c>
      <c r="N446" s="11" t="n">
        <v>0.595</v>
      </c>
      <c r="O446" s="11" t="n">
        <v>0.939</v>
      </c>
      <c r="P446" s="12"/>
      <c r="Q446" s="12"/>
      <c r="R446" s="12"/>
      <c r="S446" s="12"/>
      <c r="T446" s="9" t="s">
        <v>1181</v>
      </c>
      <c r="U446" s="9" t="s">
        <v>1182</v>
      </c>
    </row>
    <row r="447" customFormat="false" ht="15" hidden="false" customHeight="false" outlineLevel="0" collapsed="false">
      <c r="A447" s="9"/>
      <c r="B447" s="9"/>
      <c r="C447" s="9"/>
      <c r="D447" s="9"/>
      <c r="E447" s="9"/>
      <c r="F447" s="9" t="s">
        <v>1178</v>
      </c>
      <c r="G447" s="10" t="s">
        <v>1183</v>
      </c>
      <c r="H447" s="9" t="s">
        <v>1184</v>
      </c>
      <c r="I447" s="9" t="n">
        <v>220</v>
      </c>
      <c r="J447" s="9" t="n">
        <v>3199</v>
      </c>
      <c r="K447" s="11" t="n">
        <v>2.102</v>
      </c>
      <c r="L447" s="11" t="n">
        <v>1</v>
      </c>
      <c r="M447" s="9" t="n">
        <v>1</v>
      </c>
      <c r="N447" s="11" t="n">
        <v>0.806</v>
      </c>
      <c r="O447" s="11" t="n">
        <v>0.921</v>
      </c>
      <c r="P447" s="12"/>
      <c r="Q447" s="12"/>
      <c r="R447" s="12"/>
      <c r="S447" s="12"/>
      <c r="T447" s="9" t="s">
        <v>1181</v>
      </c>
      <c r="U447" s="9" t="s">
        <v>1183</v>
      </c>
    </row>
    <row r="448" customFormat="false" ht="15" hidden="false" customHeight="false" outlineLevel="0" collapsed="false">
      <c r="A448" s="9"/>
      <c r="B448" s="9"/>
      <c r="C448" s="9"/>
      <c r="D448" s="9"/>
      <c r="E448" s="9"/>
      <c r="F448" s="9" t="s">
        <v>1185</v>
      </c>
      <c r="G448" s="10" t="s">
        <v>1186</v>
      </c>
      <c r="H448" s="9" t="s">
        <v>921</v>
      </c>
      <c r="I448" s="9" t="n">
        <v>138</v>
      </c>
      <c r="J448" s="9" t="n">
        <v>4619</v>
      </c>
      <c r="K448" s="11" t="n">
        <v>3.035</v>
      </c>
      <c r="L448" s="11" t="n">
        <v>1</v>
      </c>
      <c r="M448" s="9" t="n">
        <v>1</v>
      </c>
      <c r="N448" s="11" t="n">
        <v>0.777</v>
      </c>
      <c r="O448" s="11" t="n">
        <v>0.867</v>
      </c>
      <c r="P448" s="12"/>
      <c r="Q448" s="12"/>
      <c r="R448" s="12"/>
      <c r="S448" s="12"/>
      <c r="T448" s="9" t="s">
        <v>1181</v>
      </c>
      <c r="U448" s="9" t="s">
        <v>1186</v>
      </c>
    </row>
    <row r="449" customFormat="false" ht="15" hidden="false" customHeight="false" outlineLevel="0" collapsed="false">
      <c r="A449" s="9"/>
      <c r="B449" s="9"/>
      <c r="C449" s="9"/>
      <c r="D449" s="9"/>
      <c r="E449" s="9"/>
      <c r="F449" s="9" t="s">
        <v>1187</v>
      </c>
      <c r="G449" s="10" t="s">
        <v>1188</v>
      </c>
      <c r="H449" s="9" t="s">
        <v>115</v>
      </c>
      <c r="I449" s="9" t="n">
        <v>256</v>
      </c>
      <c r="J449" s="9" t="n">
        <v>13574</v>
      </c>
      <c r="K449" s="11" t="n">
        <v>8.919</v>
      </c>
      <c r="L449" s="11" t="n">
        <v>1</v>
      </c>
      <c r="M449" s="9" t="n">
        <v>1</v>
      </c>
      <c r="N449" s="11" t="n">
        <v>0.559</v>
      </c>
      <c r="O449" s="11" t="n">
        <v>0.834</v>
      </c>
      <c r="P449" s="12"/>
      <c r="Q449" s="12"/>
      <c r="R449" s="12"/>
      <c r="S449" s="12"/>
      <c r="T449" s="9" t="s">
        <v>1181</v>
      </c>
      <c r="U449" s="9" t="s">
        <v>1188</v>
      </c>
    </row>
    <row r="450" customFormat="false" ht="15" hidden="false" customHeight="false" outlineLevel="0" collapsed="false">
      <c r="A450" s="7" t="s">
        <v>43</v>
      </c>
      <c r="B450" s="7" t="s">
        <v>1189</v>
      </c>
      <c r="C450" s="8" t="s">
        <v>1190</v>
      </c>
      <c r="D450" s="7" t="s">
        <v>1191</v>
      </c>
      <c r="E450" s="7" t="n">
        <v>1982</v>
      </c>
      <c r="F450" s="9" t="s">
        <v>1189</v>
      </c>
      <c r="G450" s="10" t="s">
        <v>1192</v>
      </c>
      <c r="H450" s="9" t="s">
        <v>1190</v>
      </c>
      <c r="I450" s="9" t="n">
        <v>34</v>
      </c>
      <c r="J450" s="9" t="n">
        <v>1358</v>
      </c>
      <c r="K450" s="11" t="n">
        <v>0.772</v>
      </c>
      <c r="L450" s="11" t="n">
        <v>1</v>
      </c>
      <c r="M450" s="9" t="n">
        <v>1</v>
      </c>
      <c r="N450" s="11" t="n">
        <v>1</v>
      </c>
      <c r="O450" s="11" t="n">
        <v>1</v>
      </c>
      <c r="P450" s="12"/>
      <c r="Q450" s="12"/>
      <c r="R450" s="12"/>
      <c r="S450" s="12"/>
      <c r="T450" s="9" t="s">
        <v>1193</v>
      </c>
      <c r="U450" s="9" t="s">
        <v>1192</v>
      </c>
    </row>
    <row r="451" customFormat="false" ht="15" hidden="false" customHeight="false" outlineLevel="0" collapsed="false">
      <c r="A451" s="9"/>
      <c r="B451" s="9"/>
      <c r="C451" s="9"/>
      <c r="D451" s="9"/>
      <c r="E451" s="9"/>
      <c r="F451" s="9" t="s">
        <v>1189</v>
      </c>
      <c r="G451" s="10" t="s">
        <v>1194</v>
      </c>
      <c r="H451" s="9" t="s">
        <v>1190</v>
      </c>
      <c r="I451" s="9" t="n">
        <v>2</v>
      </c>
      <c r="J451" s="9" t="n">
        <v>77</v>
      </c>
      <c r="K451" s="11" t="n">
        <v>0.044</v>
      </c>
      <c r="L451" s="11" t="n">
        <v>1</v>
      </c>
      <c r="M451" s="9" t="n">
        <v>1</v>
      </c>
      <c r="N451" s="11" t="n">
        <v>1</v>
      </c>
      <c r="O451" s="11" t="n">
        <v>0.95</v>
      </c>
      <c r="P451" s="12"/>
      <c r="Q451" s="12"/>
      <c r="R451" s="12"/>
      <c r="S451" s="12"/>
      <c r="T451" s="9" t="s">
        <v>1193</v>
      </c>
      <c r="U451" s="9" t="s">
        <v>1194</v>
      </c>
    </row>
    <row r="452" customFormat="false" ht="15" hidden="false" customHeight="false" outlineLevel="0" collapsed="false">
      <c r="A452" s="9"/>
      <c r="B452" s="9"/>
      <c r="C452" s="9"/>
      <c r="D452" s="9"/>
      <c r="E452" s="9"/>
      <c r="F452" s="9" t="s">
        <v>1189</v>
      </c>
      <c r="G452" s="10" t="s">
        <v>1195</v>
      </c>
      <c r="H452" s="9"/>
      <c r="I452" s="9" t="n">
        <v>2</v>
      </c>
      <c r="J452" s="9" t="n">
        <v>18</v>
      </c>
      <c r="K452" s="11" t="n">
        <v>0.01</v>
      </c>
      <c r="L452" s="11" t="n">
        <v>1</v>
      </c>
      <c r="M452" s="9" t="n">
        <v>0</v>
      </c>
      <c r="N452" s="11" t="n">
        <v>1</v>
      </c>
      <c r="O452" s="11" t="n">
        <v>0.6</v>
      </c>
      <c r="P452" s="12"/>
      <c r="Q452" s="12"/>
      <c r="R452" s="12"/>
      <c r="S452" s="12"/>
      <c r="T452" s="9" t="s">
        <v>1193</v>
      </c>
      <c r="U452" s="9" t="s">
        <v>1195</v>
      </c>
    </row>
    <row r="453" customFormat="false" ht="15" hidden="false" customHeight="false" outlineLevel="0" collapsed="false">
      <c r="A453" s="9"/>
      <c r="B453" s="9"/>
      <c r="C453" s="9"/>
      <c r="D453" s="9"/>
      <c r="E453" s="9"/>
      <c r="F453" s="9" t="s">
        <v>1189</v>
      </c>
      <c r="G453" s="10" t="s">
        <v>1196</v>
      </c>
      <c r="H453" s="9"/>
      <c r="I453" s="9" t="n">
        <v>2</v>
      </c>
      <c r="J453" s="9" t="n">
        <v>292</v>
      </c>
      <c r="K453" s="11" t="n">
        <v>0.166</v>
      </c>
      <c r="L453" s="11" t="n">
        <v>1</v>
      </c>
      <c r="M453" s="9" t="n">
        <v>0</v>
      </c>
      <c r="N453" s="11" t="n">
        <v>0.2</v>
      </c>
      <c r="O453" s="11" t="n">
        <v>0.58</v>
      </c>
      <c r="P453" s="12"/>
      <c r="Q453" s="12"/>
      <c r="R453" s="12"/>
      <c r="S453" s="12"/>
      <c r="T453" s="9" t="s">
        <v>1193</v>
      </c>
      <c r="U453" s="9" t="s">
        <v>1196</v>
      </c>
    </row>
    <row r="454" customFormat="false" ht="15" hidden="false" customHeight="false" outlineLevel="0" collapsed="false">
      <c r="A454" s="9"/>
      <c r="B454" s="9"/>
      <c r="C454" s="9"/>
      <c r="D454" s="9"/>
      <c r="E454" s="9"/>
      <c r="F454" s="9" t="s">
        <v>1189</v>
      </c>
      <c r="G454" s="10" t="s">
        <v>1197</v>
      </c>
      <c r="H454" s="9" t="s">
        <v>1198</v>
      </c>
      <c r="I454" s="9" t="n">
        <v>15</v>
      </c>
      <c r="J454" s="9" t="n">
        <v>941</v>
      </c>
      <c r="K454" s="11" t="n">
        <v>0.535</v>
      </c>
      <c r="L454" s="11" t="n">
        <v>1</v>
      </c>
      <c r="M454" s="9" t="n">
        <v>0</v>
      </c>
      <c r="N454" s="11" t="n">
        <v>0</v>
      </c>
      <c r="O454" s="11" t="n">
        <v>0.55</v>
      </c>
      <c r="P454" s="12"/>
      <c r="Q454" s="12"/>
      <c r="R454" s="12"/>
      <c r="S454" s="12"/>
      <c r="T454" s="9" t="s">
        <v>1193</v>
      </c>
      <c r="U454" s="9" t="s">
        <v>1197</v>
      </c>
    </row>
    <row r="455" customFormat="false" ht="15" hidden="false" customHeight="false" outlineLevel="0" collapsed="false">
      <c r="A455" s="7" t="s">
        <v>43</v>
      </c>
      <c r="B455" s="7" t="s">
        <v>1199</v>
      </c>
      <c r="C455" s="8" t="s">
        <v>1190</v>
      </c>
      <c r="D455" s="7" t="s">
        <v>1200</v>
      </c>
      <c r="E455" s="7" t="n">
        <v>401</v>
      </c>
      <c r="F455" s="9" t="s">
        <v>1201</v>
      </c>
      <c r="G455" s="10" t="s">
        <v>1202</v>
      </c>
      <c r="H455" s="9" t="s">
        <v>1203</v>
      </c>
      <c r="I455" s="9" t="n">
        <v>7</v>
      </c>
      <c r="J455" s="9" t="n">
        <v>225</v>
      </c>
      <c r="K455" s="11" t="n">
        <v>0.641</v>
      </c>
      <c r="L455" s="11" t="n">
        <v>1</v>
      </c>
      <c r="M455" s="9" t="n">
        <v>1</v>
      </c>
      <c r="N455" s="11" t="n">
        <v>0</v>
      </c>
      <c r="O455" s="11" t="n">
        <v>0.85</v>
      </c>
      <c r="P455" s="12"/>
      <c r="Q455" s="12"/>
      <c r="R455" s="12"/>
      <c r="S455" s="12"/>
      <c r="T455" s="9" t="s">
        <v>1204</v>
      </c>
      <c r="U455" s="9" t="s">
        <v>1202</v>
      </c>
    </row>
    <row r="456" customFormat="false" ht="15" hidden="false" customHeight="false" outlineLevel="0" collapsed="false">
      <c r="A456" s="9"/>
      <c r="B456" s="9"/>
      <c r="C456" s="9"/>
      <c r="D456" s="9"/>
      <c r="E456" s="9"/>
      <c r="F456" s="9" t="s">
        <v>1205</v>
      </c>
      <c r="G456" s="10" t="s">
        <v>1206</v>
      </c>
      <c r="H456" s="9" t="s">
        <v>1190</v>
      </c>
      <c r="I456" s="9" t="n">
        <v>124</v>
      </c>
      <c r="J456" s="9" t="n">
        <v>1342</v>
      </c>
      <c r="K456" s="11" t="n">
        <v>3.823</v>
      </c>
      <c r="L456" s="11" t="n">
        <v>1</v>
      </c>
      <c r="M456" s="9" t="n">
        <v>1</v>
      </c>
      <c r="N456" s="11" t="n">
        <v>0</v>
      </c>
      <c r="O456" s="11" t="n">
        <v>0.75</v>
      </c>
      <c r="P456" s="12"/>
      <c r="Q456" s="12"/>
      <c r="R456" s="12"/>
      <c r="S456" s="12"/>
      <c r="T456" s="9" t="s">
        <v>1204</v>
      </c>
      <c r="U456" s="9" t="s">
        <v>1206</v>
      </c>
    </row>
    <row r="457" customFormat="false" ht="15" hidden="false" customHeight="false" outlineLevel="0" collapsed="false">
      <c r="A457" s="9"/>
      <c r="B457" s="9"/>
      <c r="C457" s="9"/>
      <c r="D457" s="9"/>
      <c r="E457" s="9"/>
      <c r="F457" s="9" t="s">
        <v>1207</v>
      </c>
      <c r="G457" s="10" t="s">
        <v>1208</v>
      </c>
      <c r="H457" s="9" t="s">
        <v>392</v>
      </c>
      <c r="I457" s="9" t="n">
        <v>108</v>
      </c>
      <c r="J457" s="9" t="n">
        <v>1254</v>
      </c>
      <c r="K457" s="11" t="n">
        <v>3.573</v>
      </c>
      <c r="L457" s="11" t="n">
        <v>1</v>
      </c>
      <c r="M457" s="9" t="n">
        <v>0.5</v>
      </c>
      <c r="N457" s="11" t="n">
        <v>0.861</v>
      </c>
      <c r="O457" s="11" t="n">
        <v>0.729</v>
      </c>
      <c r="P457" s="12"/>
      <c r="Q457" s="12"/>
      <c r="R457" s="12"/>
      <c r="S457" s="12"/>
      <c r="T457" s="9" t="s">
        <v>1204</v>
      </c>
      <c r="U457" s="9" t="s">
        <v>1208</v>
      </c>
    </row>
    <row r="458" customFormat="false" ht="15" hidden="false" customHeight="false" outlineLevel="0" collapsed="false">
      <c r="A458" s="9"/>
      <c r="B458" s="9"/>
      <c r="C458" s="9"/>
      <c r="D458" s="9"/>
      <c r="E458" s="9"/>
      <c r="F458" s="9" t="s">
        <v>1199</v>
      </c>
      <c r="G458" s="10" t="s">
        <v>1209</v>
      </c>
      <c r="H458" s="9" t="s">
        <v>1210</v>
      </c>
      <c r="I458" s="9" t="n">
        <v>48</v>
      </c>
      <c r="J458" s="9" t="n">
        <v>453</v>
      </c>
      <c r="K458" s="11" t="n">
        <v>1.291</v>
      </c>
      <c r="L458" s="11" t="n">
        <v>1</v>
      </c>
      <c r="M458" s="9" t="n">
        <v>0.5</v>
      </c>
      <c r="N458" s="11" t="n">
        <v>0</v>
      </c>
      <c r="O458" s="11" t="n">
        <v>0.7</v>
      </c>
      <c r="P458" s="12"/>
      <c r="Q458" s="12"/>
      <c r="R458" s="12"/>
      <c r="S458" s="12"/>
      <c r="T458" s="9" t="s">
        <v>1204</v>
      </c>
      <c r="U458" s="9" t="s">
        <v>1209</v>
      </c>
    </row>
    <row r="459" customFormat="false" ht="15" hidden="false" customHeight="false" outlineLevel="0" collapsed="false">
      <c r="A459" s="9"/>
      <c r="B459" s="9"/>
      <c r="C459" s="9"/>
      <c r="D459" s="9"/>
      <c r="E459" s="9"/>
      <c r="F459" s="9" t="s">
        <v>1199</v>
      </c>
      <c r="G459" s="10" t="s">
        <v>1211</v>
      </c>
      <c r="H459" s="9"/>
      <c r="I459" s="9" t="n">
        <v>8</v>
      </c>
      <c r="J459" s="9" t="n">
        <v>91</v>
      </c>
      <c r="K459" s="11" t="n">
        <v>0.259</v>
      </c>
      <c r="L459" s="11" t="n">
        <v>1</v>
      </c>
      <c r="M459" s="9" t="n">
        <v>0</v>
      </c>
      <c r="N459" s="11" t="n">
        <v>1</v>
      </c>
      <c r="O459" s="11" t="n">
        <v>0.7</v>
      </c>
      <c r="P459" s="12"/>
      <c r="Q459" s="12"/>
      <c r="R459" s="12"/>
      <c r="S459" s="12"/>
      <c r="T459" s="9" t="s">
        <v>1204</v>
      </c>
      <c r="U459" s="9" t="s">
        <v>1211</v>
      </c>
    </row>
    <row r="460" customFormat="false" ht="15" hidden="false" customHeight="false" outlineLevel="0" collapsed="false">
      <c r="A460" s="7" t="s">
        <v>43</v>
      </c>
      <c r="B460" s="7" t="s">
        <v>1212</v>
      </c>
      <c r="C460" s="8" t="s">
        <v>695</v>
      </c>
      <c r="D460" s="7" t="s">
        <v>1213</v>
      </c>
      <c r="E460" s="7" t="n">
        <v>4980</v>
      </c>
      <c r="F460" s="9" t="s">
        <v>1212</v>
      </c>
      <c r="G460" s="10" t="s">
        <v>1214</v>
      </c>
      <c r="H460" s="9" t="s">
        <v>695</v>
      </c>
      <c r="I460" s="9" t="n">
        <v>27</v>
      </c>
      <c r="J460" s="9" t="n">
        <v>957</v>
      </c>
      <c r="K460" s="11" t="n">
        <v>0.199</v>
      </c>
      <c r="L460" s="11" t="n">
        <v>1</v>
      </c>
      <c r="M460" s="9" t="n">
        <v>1</v>
      </c>
      <c r="N460" s="11" t="n">
        <v>0.81</v>
      </c>
      <c r="O460" s="11" t="n">
        <v>0.971</v>
      </c>
      <c r="P460" s="12"/>
      <c r="Q460" s="12"/>
      <c r="R460" s="12"/>
      <c r="S460" s="12"/>
      <c r="T460" s="9" t="s">
        <v>1215</v>
      </c>
      <c r="U460" s="9" t="s">
        <v>1214</v>
      </c>
    </row>
    <row r="461" customFormat="false" ht="15" hidden="false" customHeight="false" outlineLevel="0" collapsed="false">
      <c r="A461" s="9"/>
      <c r="B461" s="9"/>
      <c r="C461" s="9"/>
      <c r="D461" s="9"/>
      <c r="E461" s="9"/>
      <c r="F461" s="9" t="s">
        <v>1212</v>
      </c>
      <c r="G461" s="10" t="s">
        <v>1216</v>
      </c>
      <c r="H461" s="9" t="s">
        <v>1217</v>
      </c>
      <c r="I461" s="9" t="n">
        <v>88</v>
      </c>
      <c r="J461" s="9" t="n">
        <v>3413</v>
      </c>
      <c r="K461" s="11" t="n">
        <v>0.711</v>
      </c>
      <c r="L461" s="11" t="n">
        <v>1</v>
      </c>
      <c r="M461" s="9" t="n">
        <v>1</v>
      </c>
      <c r="N461" s="11" t="n">
        <v>0.76</v>
      </c>
      <c r="O461" s="11" t="n">
        <v>0.964</v>
      </c>
      <c r="P461" s="12"/>
      <c r="Q461" s="12"/>
      <c r="R461" s="12"/>
      <c r="S461" s="12"/>
      <c r="T461" s="9" t="s">
        <v>1215</v>
      </c>
      <c r="U461" s="9" t="s">
        <v>1216</v>
      </c>
    </row>
    <row r="462" customFormat="false" ht="15" hidden="false" customHeight="false" outlineLevel="0" collapsed="false">
      <c r="A462" s="9"/>
      <c r="B462" s="9"/>
      <c r="C462" s="9"/>
      <c r="D462" s="9"/>
      <c r="E462" s="9"/>
      <c r="F462" s="9" t="s">
        <v>1212</v>
      </c>
      <c r="G462" s="10" t="s">
        <v>1218</v>
      </c>
      <c r="H462" s="9" t="s">
        <v>1219</v>
      </c>
      <c r="I462" s="9" t="n">
        <v>2</v>
      </c>
      <c r="J462" s="9" t="n">
        <v>6</v>
      </c>
      <c r="K462" s="11" t="n">
        <v>0.001</v>
      </c>
      <c r="L462" s="11" t="n">
        <v>1</v>
      </c>
      <c r="M462" s="9" t="n">
        <v>1</v>
      </c>
      <c r="N462" s="11" t="n">
        <v>0.2</v>
      </c>
      <c r="O462" s="11" t="n">
        <v>0.78</v>
      </c>
      <c r="P462" s="12"/>
      <c r="Q462" s="12"/>
      <c r="R462" s="12"/>
      <c r="S462" s="12"/>
      <c r="T462" s="9" t="s">
        <v>1215</v>
      </c>
      <c r="U462" s="9" t="s">
        <v>1218</v>
      </c>
    </row>
    <row r="463" customFormat="false" ht="15" hidden="false" customHeight="false" outlineLevel="0" collapsed="false">
      <c r="A463" s="9"/>
      <c r="B463" s="9"/>
      <c r="C463" s="9"/>
      <c r="D463" s="9"/>
      <c r="E463" s="9"/>
      <c r="F463" s="9" t="s">
        <v>1212</v>
      </c>
      <c r="G463" s="10" t="s">
        <v>1220</v>
      </c>
      <c r="H463" s="9" t="s">
        <v>1221</v>
      </c>
      <c r="I463" s="9" t="n">
        <v>47</v>
      </c>
      <c r="J463" s="9" t="n">
        <v>339</v>
      </c>
      <c r="K463" s="11" t="n">
        <v>0.071</v>
      </c>
      <c r="L463" s="11" t="n">
        <v>1</v>
      </c>
      <c r="M463" s="9" t="n">
        <v>0</v>
      </c>
      <c r="N463" s="11" t="n">
        <v>0.512</v>
      </c>
      <c r="O463" s="11" t="n">
        <v>0.577</v>
      </c>
      <c r="P463" s="12"/>
      <c r="Q463" s="12"/>
      <c r="R463" s="12"/>
      <c r="S463" s="12"/>
      <c r="T463" s="9" t="s">
        <v>1215</v>
      </c>
      <c r="U463" s="9" t="s">
        <v>1220</v>
      </c>
    </row>
    <row r="464" customFormat="false" ht="15" hidden="false" customHeight="false" outlineLevel="0" collapsed="false">
      <c r="A464" s="9"/>
      <c r="B464" s="9"/>
      <c r="C464" s="9"/>
      <c r="D464" s="9"/>
      <c r="E464" s="9"/>
      <c r="F464" s="9" t="s">
        <v>1212</v>
      </c>
      <c r="G464" s="10" t="s">
        <v>1222</v>
      </c>
      <c r="H464" s="9" t="s">
        <v>1223</v>
      </c>
      <c r="I464" s="9" t="n">
        <v>19</v>
      </c>
      <c r="J464" s="9" t="n">
        <v>361</v>
      </c>
      <c r="K464" s="11" t="n">
        <v>0.075</v>
      </c>
      <c r="L464" s="11" t="n">
        <v>1</v>
      </c>
      <c r="M464" s="9" t="n">
        <v>0</v>
      </c>
      <c r="N464" s="11" t="n">
        <v>0.474</v>
      </c>
      <c r="O464" s="11" t="n">
        <v>0.571</v>
      </c>
      <c r="P464" s="12"/>
      <c r="Q464" s="12"/>
      <c r="R464" s="12"/>
      <c r="S464" s="12"/>
      <c r="T464" s="9" t="s">
        <v>1215</v>
      </c>
      <c r="U464" s="9" t="s">
        <v>1222</v>
      </c>
    </row>
    <row r="465" customFormat="false" ht="15" hidden="false" customHeight="false" outlineLevel="0" collapsed="false">
      <c r="A465" s="7" t="s">
        <v>43</v>
      </c>
      <c r="B465" s="7" t="s">
        <v>1224</v>
      </c>
      <c r="C465" s="8" t="s">
        <v>319</v>
      </c>
      <c r="D465" s="7" t="s">
        <v>1225</v>
      </c>
      <c r="E465" s="7" t="n">
        <v>394</v>
      </c>
      <c r="F465" s="9" t="s">
        <v>1224</v>
      </c>
      <c r="G465" s="10" t="s">
        <v>1226</v>
      </c>
      <c r="H465" s="9" t="s">
        <v>1227</v>
      </c>
      <c r="I465" s="9" t="n">
        <v>30</v>
      </c>
      <c r="J465" s="9" t="n">
        <v>256</v>
      </c>
      <c r="K465" s="11" t="n">
        <v>0.834</v>
      </c>
      <c r="L465" s="11" t="n">
        <v>1</v>
      </c>
      <c r="M465" s="9" t="n">
        <v>1</v>
      </c>
      <c r="N465" s="11" t="n">
        <v>0.188</v>
      </c>
      <c r="O465" s="11" t="n">
        <v>0.878</v>
      </c>
      <c r="P465" s="12"/>
      <c r="Q465" s="12"/>
      <c r="R465" s="12"/>
      <c r="S465" s="12"/>
      <c r="T465" s="9" t="s">
        <v>1228</v>
      </c>
      <c r="U465" s="9" t="s">
        <v>1226</v>
      </c>
    </row>
    <row r="466" customFormat="false" ht="15" hidden="false" customHeight="false" outlineLevel="0" collapsed="false">
      <c r="A466" s="9"/>
      <c r="B466" s="9"/>
      <c r="C466" s="9"/>
      <c r="D466" s="9"/>
      <c r="E466" s="9"/>
      <c r="F466" s="9" t="s">
        <v>1224</v>
      </c>
      <c r="G466" s="10" t="s">
        <v>1229</v>
      </c>
      <c r="H466" s="9" t="s">
        <v>1230</v>
      </c>
      <c r="I466" s="9" t="n">
        <v>53</v>
      </c>
      <c r="J466" s="9" t="n">
        <v>626</v>
      </c>
      <c r="K466" s="11" t="n">
        <v>2.039</v>
      </c>
      <c r="L466" s="11" t="n">
        <v>1</v>
      </c>
      <c r="M466" s="9" t="n">
        <v>1</v>
      </c>
      <c r="N466" s="11" t="n">
        <v>0.508</v>
      </c>
      <c r="O466" s="11" t="n">
        <v>0.876</v>
      </c>
      <c r="P466" s="12"/>
      <c r="Q466" s="12"/>
      <c r="R466" s="12"/>
      <c r="S466" s="12"/>
      <c r="T466" s="9" t="s">
        <v>1228</v>
      </c>
      <c r="U466" s="9" t="s">
        <v>1229</v>
      </c>
    </row>
    <row r="467" customFormat="false" ht="15" hidden="false" customHeight="false" outlineLevel="0" collapsed="false">
      <c r="A467" s="9"/>
      <c r="B467" s="9"/>
      <c r="C467" s="9"/>
      <c r="D467" s="9"/>
      <c r="E467" s="9"/>
      <c r="F467" s="9" t="s">
        <v>1224</v>
      </c>
      <c r="G467" s="10" t="s">
        <v>1231</v>
      </c>
      <c r="H467" s="9" t="s">
        <v>1232</v>
      </c>
      <c r="I467" s="9" t="n">
        <v>7</v>
      </c>
      <c r="J467" s="9" t="n">
        <v>124</v>
      </c>
      <c r="K467" s="11" t="n">
        <v>0.404</v>
      </c>
      <c r="L467" s="11" t="n">
        <v>1</v>
      </c>
      <c r="M467" s="9" t="n">
        <v>0</v>
      </c>
      <c r="N467" s="11" t="n">
        <v>0.182</v>
      </c>
      <c r="O467" s="11" t="n">
        <v>0.577</v>
      </c>
      <c r="P467" s="12"/>
      <c r="Q467" s="12"/>
      <c r="R467" s="12"/>
      <c r="S467" s="12"/>
      <c r="T467" s="9" t="s">
        <v>1228</v>
      </c>
      <c r="U467" s="9" t="s">
        <v>1231</v>
      </c>
    </row>
    <row r="468" customFormat="false" ht="15" hidden="false" customHeight="false" outlineLevel="0" collapsed="false">
      <c r="A468" s="9"/>
      <c r="B468" s="9"/>
      <c r="C468" s="9"/>
      <c r="D468" s="9"/>
      <c r="E468" s="9"/>
      <c r="F468" s="9" t="s">
        <v>1224</v>
      </c>
      <c r="G468" s="10" t="s">
        <v>1233</v>
      </c>
      <c r="H468" s="9" t="s">
        <v>1234</v>
      </c>
      <c r="I468" s="9" t="n">
        <v>21</v>
      </c>
      <c r="J468" s="9" t="n">
        <v>266</v>
      </c>
      <c r="K468" s="11" t="n">
        <v>0.866</v>
      </c>
      <c r="L468" s="11" t="n">
        <v>1</v>
      </c>
      <c r="M468" s="9" t="n">
        <v>0</v>
      </c>
      <c r="N468" s="11" t="n">
        <v>0</v>
      </c>
      <c r="O468" s="11" t="n">
        <v>0.55</v>
      </c>
      <c r="P468" s="12"/>
      <c r="Q468" s="12"/>
      <c r="R468" s="12"/>
      <c r="S468" s="12"/>
      <c r="T468" s="9" t="s">
        <v>1228</v>
      </c>
      <c r="U468" s="9" t="s">
        <v>1233</v>
      </c>
    </row>
    <row r="469" customFormat="false" ht="15" hidden="false" customHeight="false" outlineLevel="0" collapsed="false">
      <c r="A469" s="9"/>
      <c r="B469" s="9"/>
      <c r="C469" s="9"/>
      <c r="D469" s="9"/>
      <c r="E469" s="9"/>
      <c r="F469" s="9" t="s">
        <v>1224</v>
      </c>
      <c r="G469" s="10" t="s">
        <v>1235</v>
      </c>
      <c r="H469" s="9" t="s">
        <v>1236</v>
      </c>
      <c r="I469" s="9" t="n">
        <v>1</v>
      </c>
      <c r="J469" s="9" t="n">
        <v>0</v>
      </c>
      <c r="K469" s="11" t="n">
        <v>0</v>
      </c>
      <c r="L469" s="11" t="n">
        <v>1</v>
      </c>
      <c r="M469" s="9" t="n">
        <v>0</v>
      </c>
      <c r="N469" s="11" t="n">
        <v>0.667</v>
      </c>
      <c r="O469" s="11" t="n">
        <v>0.55</v>
      </c>
      <c r="P469" s="12"/>
      <c r="Q469" s="12"/>
      <c r="R469" s="12"/>
      <c r="S469" s="12"/>
      <c r="T469" s="9" t="s">
        <v>1228</v>
      </c>
      <c r="U469" s="9" t="s">
        <v>1235</v>
      </c>
    </row>
    <row r="470" customFormat="false" ht="15" hidden="false" customHeight="false" outlineLevel="0" collapsed="false">
      <c r="A470" s="7" t="s">
        <v>43</v>
      </c>
      <c r="B470" s="7" t="s">
        <v>1237</v>
      </c>
      <c r="C470" s="8" t="s">
        <v>1238</v>
      </c>
      <c r="D470" s="7" t="s">
        <v>1239</v>
      </c>
      <c r="E470" s="7" t="n">
        <v>1650</v>
      </c>
      <c r="F470" s="9" t="s">
        <v>1237</v>
      </c>
      <c r="G470" s="10" t="s">
        <v>1240</v>
      </c>
      <c r="H470" s="9" t="s">
        <v>1238</v>
      </c>
      <c r="I470" s="9" t="n">
        <v>27</v>
      </c>
      <c r="J470" s="9" t="n">
        <v>959</v>
      </c>
      <c r="K470" s="11" t="n">
        <v>0.581</v>
      </c>
      <c r="L470" s="11" t="n">
        <v>1</v>
      </c>
      <c r="M470" s="9" t="n">
        <v>1</v>
      </c>
      <c r="N470" s="11" t="n">
        <v>0.875</v>
      </c>
      <c r="O470" s="11" t="n">
        <v>0.981</v>
      </c>
      <c r="P470" s="12"/>
      <c r="Q470" s="12"/>
      <c r="R470" s="12"/>
      <c r="S470" s="12"/>
      <c r="T470" s="9" t="s">
        <v>1241</v>
      </c>
      <c r="U470" s="9" t="s">
        <v>1240</v>
      </c>
    </row>
    <row r="471" customFormat="false" ht="15" hidden="false" customHeight="false" outlineLevel="0" collapsed="false">
      <c r="A471" s="9"/>
      <c r="B471" s="9"/>
      <c r="C471" s="9"/>
      <c r="D471" s="9"/>
      <c r="E471" s="9"/>
      <c r="F471" s="9" t="s">
        <v>1237</v>
      </c>
      <c r="G471" s="10" t="s">
        <v>1242</v>
      </c>
      <c r="H471" s="9" t="s">
        <v>1243</v>
      </c>
      <c r="I471" s="9" t="n">
        <v>26</v>
      </c>
      <c r="J471" s="9" t="n">
        <v>191</v>
      </c>
      <c r="K471" s="11" t="n">
        <v>0.116</v>
      </c>
      <c r="L471" s="11" t="n">
        <v>1</v>
      </c>
      <c r="M471" s="9" t="n">
        <v>1</v>
      </c>
      <c r="N471" s="11" t="n">
        <v>0.765</v>
      </c>
      <c r="O471" s="11" t="n">
        <v>0.965</v>
      </c>
      <c r="P471" s="12"/>
      <c r="Q471" s="12"/>
      <c r="R471" s="12"/>
      <c r="S471" s="12"/>
      <c r="T471" s="9" t="s">
        <v>1241</v>
      </c>
      <c r="U471" s="9" t="s">
        <v>1242</v>
      </c>
    </row>
    <row r="472" customFormat="false" ht="15" hidden="false" customHeight="false" outlineLevel="0" collapsed="false">
      <c r="A472" s="9"/>
      <c r="B472" s="9"/>
      <c r="C472" s="9"/>
      <c r="D472" s="9"/>
      <c r="E472" s="9"/>
      <c r="F472" s="9" t="s">
        <v>1237</v>
      </c>
      <c r="G472" s="10" t="s">
        <v>1244</v>
      </c>
      <c r="H472" s="9" t="s">
        <v>1238</v>
      </c>
      <c r="I472" s="9" t="n">
        <v>2</v>
      </c>
      <c r="J472" s="9" t="n">
        <v>0</v>
      </c>
      <c r="K472" s="11" t="n">
        <v>0</v>
      </c>
      <c r="L472" s="11" t="n">
        <v>1</v>
      </c>
      <c r="M472" s="9" t="n">
        <v>1</v>
      </c>
      <c r="N472" s="11" t="n">
        <v>1</v>
      </c>
      <c r="O472" s="11" t="n">
        <v>0.9</v>
      </c>
      <c r="P472" s="12"/>
      <c r="Q472" s="12"/>
      <c r="R472" s="12"/>
      <c r="S472" s="12"/>
      <c r="T472" s="9" t="s">
        <v>1241</v>
      </c>
      <c r="U472" s="9" t="s">
        <v>1244</v>
      </c>
    </row>
    <row r="473" customFormat="false" ht="15" hidden="false" customHeight="false" outlineLevel="0" collapsed="false">
      <c r="A473" s="9"/>
      <c r="B473" s="9"/>
      <c r="C473" s="9"/>
      <c r="D473" s="9"/>
      <c r="E473" s="9"/>
      <c r="F473" s="9" t="s">
        <v>1237</v>
      </c>
      <c r="G473" s="10" t="s">
        <v>1245</v>
      </c>
      <c r="H473" s="9"/>
      <c r="I473" s="9" t="n">
        <v>1</v>
      </c>
      <c r="J473" s="9" t="n">
        <v>0</v>
      </c>
      <c r="K473" s="11" t="n">
        <v>0</v>
      </c>
      <c r="L473" s="11" t="n">
        <v>1</v>
      </c>
      <c r="M473" s="9" t="n">
        <v>0</v>
      </c>
      <c r="N473" s="11" t="n">
        <v>1</v>
      </c>
      <c r="O473" s="11" t="n">
        <v>0.6</v>
      </c>
      <c r="P473" s="12"/>
      <c r="Q473" s="12"/>
      <c r="R473" s="12"/>
      <c r="S473" s="12"/>
      <c r="T473" s="9" t="s">
        <v>1241</v>
      </c>
      <c r="U473" s="9" t="s">
        <v>1245</v>
      </c>
    </row>
    <row r="474" customFormat="false" ht="15" hidden="false" customHeight="false" outlineLevel="0" collapsed="false">
      <c r="A474" s="9"/>
      <c r="B474" s="9"/>
      <c r="C474" s="9"/>
      <c r="D474" s="9"/>
      <c r="E474" s="9"/>
      <c r="F474" s="9" t="s">
        <v>1237</v>
      </c>
      <c r="G474" s="10" t="s">
        <v>1246</v>
      </c>
      <c r="H474" s="9" t="s">
        <v>309</v>
      </c>
      <c r="I474" s="9" t="n">
        <v>1</v>
      </c>
      <c r="J474" s="9" t="n">
        <v>0</v>
      </c>
      <c r="K474" s="11" t="n">
        <v>0</v>
      </c>
      <c r="L474" s="11" t="n">
        <v>1</v>
      </c>
      <c r="M474" s="9" t="n">
        <v>0</v>
      </c>
      <c r="N474" s="11" t="n">
        <v>1</v>
      </c>
      <c r="O474" s="11" t="n">
        <v>0.6</v>
      </c>
      <c r="P474" s="12"/>
      <c r="Q474" s="12"/>
      <c r="R474" s="12"/>
      <c r="S474" s="12"/>
      <c r="T474" s="9" t="s">
        <v>1241</v>
      </c>
      <c r="U474" s="9" t="s">
        <v>1246</v>
      </c>
    </row>
    <row r="475" customFormat="false" ht="15" hidden="false" customHeight="false" outlineLevel="0" collapsed="false">
      <c r="A475" s="7" t="s">
        <v>43</v>
      </c>
      <c r="B475" s="7" t="s">
        <v>1247</v>
      </c>
      <c r="C475" s="8" t="s">
        <v>643</v>
      </c>
      <c r="D475" s="7" t="s">
        <v>1248</v>
      </c>
      <c r="E475" s="7" t="n">
        <v>4606</v>
      </c>
      <c r="F475" s="9" t="s">
        <v>1247</v>
      </c>
      <c r="G475" s="10" t="s">
        <v>1249</v>
      </c>
      <c r="H475" s="9" t="s">
        <v>1250</v>
      </c>
      <c r="I475" s="9" t="n">
        <v>125</v>
      </c>
      <c r="J475" s="9" t="n">
        <v>2952</v>
      </c>
      <c r="K475" s="11" t="n">
        <v>0.689</v>
      </c>
      <c r="L475" s="11" t="n">
        <v>1</v>
      </c>
      <c r="M475" s="9" t="n">
        <v>1</v>
      </c>
      <c r="N475" s="11" t="n">
        <v>1</v>
      </c>
      <c r="O475" s="11" t="n">
        <v>1</v>
      </c>
      <c r="P475" s="12"/>
      <c r="Q475" s="12"/>
      <c r="R475" s="12"/>
      <c r="S475" s="12"/>
      <c r="T475" s="9" t="s">
        <v>1251</v>
      </c>
      <c r="U475" s="9" t="s">
        <v>1249</v>
      </c>
    </row>
    <row r="476" customFormat="false" ht="15" hidden="false" customHeight="false" outlineLevel="0" collapsed="false">
      <c r="A476" s="9"/>
      <c r="B476" s="9"/>
      <c r="C476" s="9"/>
      <c r="D476" s="9"/>
      <c r="E476" s="9"/>
      <c r="F476" s="9" t="s">
        <v>1247</v>
      </c>
      <c r="G476" s="10" t="s">
        <v>1252</v>
      </c>
      <c r="H476" s="9" t="s">
        <v>1253</v>
      </c>
      <c r="I476" s="9" t="n">
        <v>197</v>
      </c>
      <c r="J476" s="9" t="n">
        <v>2365</v>
      </c>
      <c r="K476" s="11" t="n">
        <v>0.552</v>
      </c>
      <c r="L476" s="11" t="n">
        <v>1</v>
      </c>
      <c r="M476" s="9" t="n">
        <v>1</v>
      </c>
      <c r="N476" s="11" t="n">
        <v>0.741</v>
      </c>
      <c r="O476" s="11" t="n">
        <v>0.961</v>
      </c>
      <c r="P476" s="12"/>
      <c r="Q476" s="12"/>
      <c r="R476" s="12"/>
      <c r="S476" s="12"/>
      <c r="T476" s="9" t="s">
        <v>1251</v>
      </c>
      <c r="U476" s="9" t="s">
        <v>1252</v>
      </c>
    </row>
    <row r="477" customFormat="false" ht="15" hidden="false" customHeight="false" outlineLevel="0" collapsed="false">
      <c r="A477" s="9"/>
      <c r="B477" s="9"/>
      <c r="C477" s="9"/>
      <c r="D477" s="9"/>
      <c r="E477" s="9"/>
      <c r="F477" s="9" t="s">
        <v>1247</v>
      </c>
      <c r="G477" s="10" t="s">
        <v>1254</v>
      </c>
      <c r="H477" s="9" t="s">
        <v>1255</v>
      </c>
      <c r="I477" s="9" t="n">
        <v>218</v>
      </c>
      <c r="J477" s="9" t="n">
        <v>3333</v>
      </c>
      <c r="K477" s="11" t="n">
        <v>0.778</v>
      </c>
      <c r="L477" s="11" t="n">
        <v>1</v>
      </c>
      <c r="M477" s="9" t="n">
        <v>1</v>
      </c>
      <c r="N477" s="11" t="n">
        <v>0.123</v>
      </c>
      <c r="O477" s="11" t="n">
        <v>0.868</v>
      </c>
      <c r="P477" s="12"/>
      <c r="Q477" s="12"/>
      <c r="R477" s="12"/>
      <c r="S477" s="12"/>
      <c r="T477" s="9" t="s">
        <v>1251</v>
      </c>
      <c r="U477" s="9" t="s">
        <v>1254</v>
      </c>
    </row>
    <row r="478" customFormat="false" ht="15" hidden="false" customHeight="false" outlineLevel="0" collapsed="false">
      <c r="A478" s="9"/>
      <c r="B478" s="9"/>
      <c r="C478" s="9"/>
      <c r="D478" s="9"/>
      <c r="E478" s="9"/>
      <c r="F478" s="9" t="s">
        <v>1256</v>
      </c>
      <c r="G478" s="10" t="s">
        <v>1257</v>
      </c>
      <c r="H478" s="9" t="s">
        <v>1258</v>
      </c>
      <c r="I478" s="9" t="n">
        <v>208</v>
      </c>
      <c r="J478" s="9" t="n">
        <v>5312</v>
      </c>
      <c r="K478" s="11" t="n">
        <v>1.241</v>
      </c>
      <c r="L478" s="11" t="n">
        <v>1</v>
      </c>
      <c r="M478" s="9" t="n">
        <v>0</v>
      </c>
      <c r="N478" s="11" t="n">
        <v>0.779</v>
      </c>
      <c r="O478" s="11" t="n">
        <v>0.667</v>
      </c>
      <c r="P478" s="12"/>
      <c r="Q478" s="12"/>
      <c r="R478" s="12"/>
      <c r="S478" s="12"/>
      <c r="T478" s="9" t="s">
        <v>1251</v>
      </c>
      <c r="U478" s="9" t="s">
        <v>1257</v>
      </c>
    </row>
    <row r="479" customFormat="false" ht="15" hidden="false" customHeight="false" outlineLevel="0" collapsed="false">
      <c r="A479" s="9"/>
      <c r="B479" s="9"/>
      <c r="C479" s="9"/>
      <c r="D479" s="9"/>
      <c r="E479" s="9"/>
      <c r="F479" s="9" t="s">
        <v>1247</v>
      </c>
      <c r="G479" s="10" t="s">
        <v>1259</v>
      </c>
      <c r="H479" s="9" t="s">
        <v>1260</v>
      </c>
      <c r="I479" s="9" t="n">
        <v>31</v>
      </c>
      <c r="J479" s="9" t="n">
        <v>2774</v>
      </c>
      <c r="K479" s="11" t="n">
        <v>0.648</v>
      </c>
      <c r="L479" s="11" t="n">
        <v>1</v>
      </c>
      <c r="M479" s="9" t="n">
        <v>0</v>
      </c>
      <c r="N479" s="11" t="n">
        <v>0.364</v>
      </c>
      <c r="O479" s="11" t="n">
        <v>0.605</v>
      </c>
      <c r="P479" s="12"/>
      <c r="Q479" s="12"/>
      <c r="R479" s="12"/>
      <c r="S479" s="12"/>
      <c r="T479" s="9" t="s">
        <v>1251</v>
      </c>
      <c r="U479" s="9" t="s">
        <v>1259</v>
      </c>
    </row>
    <row r="480" customFormat="false" ht="15" hidden="false" customHeight="false" outlineLevel="0" collapsed="false">
      <c r="A480" s="7" t="s">
        <v>43</v>
      </c>
      <c r="B480" s="7" t="s">
        <v>1261</v>
      </c>
      <c r="C480" s="8" t="s">
        <v>380</v>
      </c>
      <c r="D480" s="7" t="s">
        <v>1262</v>
      </c>
      <c r="E480" s="7" t="n">
        <v>1063</v>
      </c>
      <c r="F480" s="9" t="s">
        <v>1261</v>
      </c>
      <c r="G480" s="10" t="s">
        <v>1263</v>
      </c>
      <c r="H480" s="9" t="s">
        <v>1264</v>
      </c>
      <c r="I480" s="9" t="n">
        <v>52</v>
      </c>
      <c r="J480" s="9" t="n">
        <v>813</v>
      </c>
      <c r="K480" s="11" t="n">
        <v>0.871</v>
      </c>
      <c r="L480" s="11" t="n">
        <v>1</v>
      </c>
      <c r="M480" s="9" t="n">
        <v>1</v>
      </c>
      <c r="N480" s="11" t="n">
        <v>0.854</v>
      </c>
      <c r="O480" s="11" t="n">
        <v>0.978</v>
      </c>
      <c r="P480" s="12"/>
      <c r="Q480" s="12"/>
      <c r="R480" s="12"/>
      <c r="S480" s="12"/>
      <c r="T480" s="9" t="s">
        <v>1265</v>
      </c>
      <c r="U480" s="9" t="s">
        <v>1263</v>
      </c>
    </row>
    <row r="481" customFormat="false" ht="15" hidden="false" customHeight="false" outlineLevel="0" collapsed="false">
      <c r="A481" s="9"/>
      <c r="B481" s="9"/>
      <c r="C481" s="9"/>
      <c r="D481" s="9"/>
      <c r="E481" s="9"/>
      <c r="F481" s="9" t="s">
        <v>1261</v>
      </c>
      <c r="G481" s="10" t="s">
        <v>1266</v>
      </c>
      <c r="H481" s="9" t="s">
        <v>380</v>
      </c>
      <c r="I481" s="9" t="n">
        <v>1</v>
      </c>
      <c r="J481" s="9" t="n">
        <v>0</v>
      </c>
      <c r="K481" s="11" t="n">
        <v>0</v>
      </c>
      <c r="L481" s="11" t="n">
        <v>1</v>
      </c>
      <c r="M481" s="9" t="n">
        <v>1</v>
      </c>
      <c r="N481" s="11" t="n">
        <v>1</v>
      </c>
      <c r="O481" s="11" t="n">
        <v>0.9</v>
      </c>
      <c r="P481" s="12"/>
      <c r="Q481" s="12"/>
      <c r="R481" s="12"/>
      <c r="S481" s="12"/>
      <c r="T481" s="9" t="s">
        <v>1265</v>
      </c>
      <c r="U481" s="9" t="s">
        <v>1266</v>
      </c>
    </row>
    <row r="482" customFormat="false" ht="15" hidden="false" customHeight="false" outlineLevel="0" collapsed="false">
      <c r="A482" s="9"/>
      <c r="B482" s="9"/>
      <c r="C482" s="9"/>
      <c r="D482" s="9"/>
      <c r="E482" s="9"/>
      <c r="F482" s="9" t="s">
        <v>1261</v>
      </c>
      <c r="G482" s="10" t="s">
        <v>1267</v>
      </c>
      <c r="H482" s="9" t="s">
        <v>1268</v>
      </c>
      <c r="I482" s="9" t="n">
        <v>51</v>
      </c>
      <c r="J482" s="9" t="n">
        <v>508</v>
      </c>
      <c r="K482" s="11" t="n">
        <v>0.544</v>
      </c>
      <c r="L482" s="11" t="n">
        <v>1</v>
      </c>
      <c r="M482" s="9" t="n">
        <v>1</v>
      </c>
      <c r="N482" s="11" t="n">
        <v>0.259</v>
      </c>
      <c r="O482" s="11" t="n">
        <v>0.889</v>
      </c>
      <c r="P482" s="12"/>
      <c r="Q482" s="12"/>
      <c r="R482" s="12"/>
      <c r="S482" s="12"/>
      <c r="T482" s="9" t="s">
        <v>1265</v>
      </c>
      <c r="U482" s="9" t="s">
        <v>1267</v>
      </c>
    </row>
    <row r="483" customFormat="false" ht="15" hidden="false" customHeight="false" outlineLevel="0" collapsed="false">
      <c r="A483" s="9"/>
      <c r="B483" s="9"/>
      <c r="C483" s="9"/>
      <c r="D483" s="9"/>
      <c r="E483" s="9"/>
      <c r="F483" s="9" t="s">
        <v>1269</v>
      </c>
      <c r="G483" s="10" t="s">
        <v>1270</v>
      </c>
      <c r="H483" s="9" t="s">
        <v>666</v>
      </c>
      <c r="I483" s="9" t="n">
        <v>2</v>
      </c>
      <c r="J483" s="9" t="n">
        <v>2</v>
      </c>
      <c r="K483" s="11" t="n">
        <v>0.002</v>
      </c>
      <c r="L483" s="11" t="n">
        <v>1</v>
      </c>
      <c r="M483" s="9" t="n">
        <v>1</v>
      </c>
      <c r="N483" s="11" t="n">
        <v>0.833</v>
      </c>
      <c r="O483" s="11" t="n">
        <v>0.875</v>
      </c>
      <c r="P483" s="12"/>
      <c r="Q483" s="12"/>
      <c r="R483" s="12"/>
      <c r="S483" s="12"/>
      <c r="T483" s="9" t="s">
        <v>1265</v>
      </c>
      <c r="U483" s="9" t="s">
        <v>1270</v>
      </c>
    </row>
    <row r="484" customFormat="false" ht="15" hidden="false" customHeight="false" outlineLevel="0" collapsed="false">
      <c r="A484" s="9"/>
      <c r="B484" s="9"/>
      <c r="C484" s="9"/>
      <c r="D484" s="9"/>
      <c r="E484" s="9"/>
      <c r="F484" s="9" t="s">
        <v>1261</v>
      </c>
      <c r="G484" s="10" t="s">
        <v>1271</v>
      </c>
      <c r="H484" s="9" t="s">
        <v>1272</v>
      </c>
      <c r="I484" s="9" t="n">
        <v>39</v>
      </c>
      <c r="J484" s="9" t="n">
        <v>511</v>
      </c>
      <c r="K484" s="11" t="n">
        <v>0.548</v>
      </c>
      <c r="L484" s="11" t="n">
        <v>1</v>
      </c>
      <c r="M484" s="9" t="n">
        <v>0</v>
      </c>
      <c r="N484" s="11" t="n">
        <v>0.897</v>
      </c>
      <c r="O484" s="11" t="n">
        <v>0.685</v>
      </c>
      <c r="P484" s="12"/>
      <c r="Q484" s="12"/>
      <c r="R484" s="12"/>
      <c r="S484" s="12"/>
      <c r="T484" s="9" t="s">
        <v>1265</v>
      </c>
      <c r="U484" s="9" t="s">
        <v>1271</v>
      </c>
    </row>
    <row r="485" customFormat="false" ht="15" hidden="false" customHeight="false" outlineLevel="0" collapsed="false">
      <c r="A485" s="7" t="s">
        <v>43</v>
      </c>
      <c r="B485" s="7" t="s">
        <v>1273</v>
      </c>
      <c r="C485" s="8" t="s">
        <v>514</v>
      </c>
      <c r="D485" s="7" t="s">
        <v>1168</v>
      </c>
      <c r="E485" s="7" t="n">
        <v>5497</v>
      </c>
      <c r="F485" s="9" t="s">
        <v>1273</v>
      </c>
      <c r="G485" s="10" t="s">
        <v>1274</v>
      </c>
      <c r="H485" s="9" t="s">
        <v>1172</v>
      </c>
      <c r="I485" s="9" t="n">
        <v>55</v>
      </c>
      <c r="J485" s="9" t="n">
        <v>1310</v>
      </c>
      <c r="K485" s="11" t="n">
        <v>0.252</v>
      </c>
      <c r="L485" s="11" t="n">
        <v>1</v>
      </c>
      <c r="M485" s="9" t="n">
        <v>1</v>
      </c>
      <c r="N485" s="11" t="n">
        <v>0.955</v>
      </c>
      <c r="O485" s="11" t="n">
        <v>0.993</v>
      </c>
      <c r="P485" s="12"/>
      <c r="Q485" s="12"/>
      <c r="R485" s="12"/>
      <c r="S485" s="12"/>
      <c r="T485" s="9" t="s">
        <v>1275</v>
      </c>
      <c r="U485" s="9" t="s">
        <v>1274</v>
      </c>
    </row>
    <row r="486" customFormat="false" ht="15" hidden="false" customHeight="false" outlineLevel="0" collapsed="false">
      <c r="A486" s="9"/>
      <c r="B486" s="9"/>
      <c r="C486" s="9"/>
      <c r="D486" s="9"/>
      <c r="E486" s="9"/>
      <c r="F486" s="9" t="s">
        <v>1276</v>
      </c>
      <c r="G486" s="10" t="s">
        <v>1277</v>
      </c>
      <c r="H486" s="9" t="s">
        <v>1172</v>
      </c>
      <c r="I486" s="9" t="n">
        <v>83</v>
      </c>
      <c r="J486" s="9" t="n">
        <v>1420</v>
      </c>
      <c r="K486" s="11" t="n">
        <v>0.273</v>
      </c>
      <c r="L486" s="11" t="n">
        <v>0.893</v>
      </c>
      <c r="M486" s="9" t="n">
        <v>1</v>
      </c>
      <c r="N486" s="11" t="n">
        <v>1</v>
      </c>
      <c r="O486" s="11" t="n">
        <v>0.952</v>
      </c>
      <c r="P486" s="12"/>
      <c r="Q486" s="12"/>
      <c r="R486" s="12"/>
      <c r="S486" s="12"/>
      <c r="T486" s="9" t="s">
        <v>1275</v>
      </c>
      <c r="U486" s="9" t="s">
        <v>1277</v>
      </c>
    </row>
    <row r="487" customFormat="false" ht="15" hidden="false" customHeight="false" outlineLevel="0" collapsed="false">
      <c r="A487" s="9"/>
      <c r="B487" s="9"/>
      <c r="C487" s="9"/>
      <c r="D487" s="9"/>
      <c r="E487" s="9"/>
      <c r="F487" s="9" t="s">
        <v>1278</v>
      </c>
      <c r="G487" s="10" t="s">
        <v>1279</v>
      </c>
      <c r="H487" s="9" t="s">
        <v>1172</v>
      </c>
      <c r="I487" s="9" t="n">
        <v>1</v>
      </c>
      <c r="J487" s="9" t="n">
        <v>12</v>
      </c>
      <c r="K487" s="11" t="n">
        <v>0.002</v>
      </c>
      <c r="L487" s="11" t="n">
        <v>0.722</v>
      </c>
      <c r="M487" s="9" t="n">
        <v>1</v>
      </c>
      <c r="N487" s="11" t="n">
        <v>1</v>
      </c>
      <c r="O487" s="11" t="n">
        <v>0.775</v>
      </c>
      <c r="P487" s="12"/>
      <c r="Q487" s="12"/>
      <c r="R487" s="12"/>
      <c r="S487" s="12"/>
      <c r="T487" s="9" t="s">
        <v>1275</v>
      </c>
      <c r="U487" s="9" t="s">
        <v>1279</v>
      </c>
    </row>
    <row r="488" customFormat="false" ht="15" hidden="false" customHeight="false" outlineLevel="0" collapsed="false">
      <c r="A488" s="9"/>
      <c r="B488" s="9"/>
      <c r="C488" s="9"/>
      <c r="D488" s="9"/>
      <c r="E488" s="9"/>
      <c r="F488" s="9" t="s">
        <v>1273</v>
      </c>
      <c r="G488" s="10" t="s">
        <v>1280</v>
      </c>
      <c r="H488" s="9"/>
      <c r="I488" s="9" t="n">
        <v>4</v>
      </c>
      <c r="J488" s="9" t="n">
        <v>0</v>
      </c>
      <c r="K488" s="11" t="n">
        <v>0</v>
      </c>
      <c r="L488" s="11" t="n">
        <v>1</v>
      </c>
      <c r="M488" s="9" t="n">
        <v>0</v>
      </c>
      <c r="N488" s="11" t="n">
        <v>1</v>
      </c>
      <c r="O488" s="11" t="n">
        <v>0.6</v>
      </c>
      <c r="P488" s="12"/>
      <c r="Q488" s="12"/>
      <c r="R488" s="12"/>
      <c r="S488" s="12"/>
      <c r="T488" s="9" t="s">
        <v>1275</v>
      </c>
      <c r="U488" s="9" t="s">
        <v>1280</v>
      </c>
    </row>
    <row r="489" customFormat="false" ht="15" hidden="false" customHeight="false" outlineLevel="0" collapsed="false">
      <c r="A489" s="7" t="s">
        <v>43</v>
      </c>
      <c r="B489" s="7" t="s">
        <v>1281</v>
      </c>
      <c r="C489" s="8" t="s">
        <v>540</v>
      </c>
      <c r="D489" s="7" t="s">
        <v>1282</v>
      </c>
      <c r="E489" s="7" t="n">
        <v>4053</v>
      </c>
      <c r="F489" s="9" t="s">
        <v>1281</v>
      </c>
      <c r="G489" s="10" t="s">
        <v>1283</v>
      </c>
      <c r="H489" s="9" t="s">
        <v>1284</v>
      </c>
      <c r="I489" s="9" t="n">
        <v>97</v>
      </c>
      <c r="J489" s="9" t="n">
        <v>2628</v>
      </c>
      <c r="K489" s="11" t="n">
        <v>0.723</v>
      </c>
      <c r="L489" s="11" t="n">
        <v>1</v>
      </c>
      <c r="M489" s="9" t="n">
        <v>1</v>
      </c>
      <c r="N489" s="11" t="n">
        <v>0.9</v>
      </c>
      <c r="O489" s="11" t="n">
        <v>0.985</v>
      </c>
      <c r="P489" s="12"/>
      <c r="Q489" s="12"/>
      <c r="R489" s="12"/>
      <c r="S489" s="12"/>
      <c r="T489" s="9" t="s">
        <v>1285</v>
      </c>
      <c r="U489" s="9" t="s">
        <v>1283</v>
      </c>
    </row>
    <row r="490" customFormat="false" ht="15" hidden="false" customHeight="false" outlineLevel="0" collapsed="false">
      <c r="A490" s="9"/>
      <c r="B490" s="9"/>
      <c r="C490" s="9"/>
      <c r="D490" s="9"/>
      <c r="E490" s="9"/>
      <c r="F490" s="9" t="s">
        <v>1281</v>
      </c>
      <c r="G490" s="10" t="s">
        <v>1286</v>
      </c>
      <c r="H490" s="9" t="s">
        <v>1287</v>
      </c>
      <c r="I490" s="9" t="n">
        <v>41</v>
      </c>
      <c r="J490" s="9" t="n">
        <v>500</v>
      </c>
      <c r="K490" s="11" t="n">
        <v>0.138</v>
      </c>
      <c r="L490" s="11" t="n">
        <v>1</v>
      </c>
      <c r="M490" s="9" t="n">
        <v>1</v>
      </c>
      <c r="N490" s="11" t="n">
        <v>0.857</v>
      </c>
      <c r="O490" s="11" t="n">
        <v>0.979</v>
      </c>
      <c r="P490" s="12"/>
      <c r="Q490" s="12"/>
      <c r="R490" s="12"/>
      <c r="S490" s="12"/>
      <c r="T490" s="9" t="s">
        <v>1285</v>
      </c>
      <c r="U490" s="9" t="s">
        <v>1286</v>
      </c>
    </row>
    <row r="491" customFormat="false" ht="15" hidden="false" customHeight="false" outlineLevel="0" collapsed="false">
      <c r="A491" s="9"/>
      <c r="B491" s="9"/>
      <c r="C491" s="9"/>
      <c r="D491" s="9"/>
      <c r="E491" s="9"/>
      <c r="F491" s="9" t="s">
        <v>1281</v>
      </c>
      <c r="G491" s="10" t="s">
        <v>1288</v>
      </c>
      <c r="H491" s="9" t="s">
        <v>571</v>
      </c>
      <c r="I491" s="9" t="n">
        <v>20</v>
      </c>
      <c r="J491" s="9" t="n">
        <v>316</v>
      </c>
      <c r="K491" s="11" t="n">
        <v>0.087</v>
      </c>
      <c r="L491" s="11" t="n">
        <v>1</v>
      </c>
      <c r="M491" s="9" t="n">
        <v>1</v>
      </c>
      <c r="N491" s="11" t="n">
        <v>1</v>
      </c>
      <c r="O491" s="11" t="n">
        <v>0.95</v>
      </c>
      <c r="P491" s="12"/>
      <c r="Q491" s="12"/>
      <c r="R491" s="12"/>
      <c r="S491" s="12"/>
      <c r="T491" s="9" t="s">
        <v>1285</v>
      </c>
      <c r="U491" s="9" t="s">
        <v>1288</v>
      </c>
    </row>
    <row r="492" customFormat="false" ht="15" hidden="false" customHeight="false" outlineLevel="0" collapsed="false">
      <c r="A492" s="9"/>
      <c r="B492" s="9"/>
      <c r="C492" s="9"/>
      <c r="D492" s="9"/>
      <c r="E492" s="9"/>
      <c r="F492" s="9" t="s">
        <v>1281</v>
      </c>
      <c r="G492" s="10" t="s">
        <v>1289</v>
      </c>
      <c r="H492" s="9" t="s">
        <v>727</v>
      </c>
      <c r="I492" s="9" t="n">
        <v>72</v>
      </c>
      <c r="J492" s="9" t="n">
        <v>882</v>
      </c>
      <c r="K492" s="11" t="n">
        <v>0.243</v>
      </c>
      <c r="L492" s="11" t="n">
        <v>1</v>
      </c>
      <c r="M492" s="9" t="n">
        <v>1</v>
      </c>
      <c r="N492" s="11" t="n">
        <v>0.455</v>
      </c>
      <c r="O492" s="11" t="n">
        <v>0.918</v>
      </c>
      <c r="P492" s="12"/>
      <c r="Q492" s="12"/>
      <c r="R492" s="12"/>
      <c r="S492" s="12"/>
      <c r="T492" s="9" t="s">
        <v>1285</v>
      </c>
      <c r="U492" s="9" t="s">
        <v>1289</v>
      </c>
    </row>
    <row r="493" customFormat="false" ht="15" hidden="false" customHeight="false" outlineLevel="0" collapsed="false">
      <c r="A493" s="9"/>
      <c r="B493" s="9"/>
      <c r="C493" s="9"/>
      <c r="D493" s="9"/>
      <c r="E493" s="9"/>
      <c r="F493" s="9" t="s">
        <v>1281</v>
      </c>
      <c r="G493" s="10" t="s">
        <v>1290</v>
      </c>
      <c r="H493" s="9" t="s">
        <v>571</v>
      </c>
      <c r="I493" s="9" t="n">
        <v>77</v>
      </c>
      <c r="J493" s="9" t="n">
        <v>1507</v>
      </c>
      <c r="K493" s="11" t="n">
        <v>0.415</v>
      </c>
      <c r="L493" s="11" t="n">
        <v>1</v>
      </c>
      <c r="M493" s="9" t="n">
        <v>1</v>
      </c>
      <c r="N493" s="11" t="n">
        <v>0.132</v>
      </c>
      <c r="O493" s="11" t="n">
        <v>0.87</v>
      </c>
      <c r="P493" s="12"/>
      <c r="Q493" s="12"/>
      <c r="R493" s="12"/>
      <c r="S493" s="12"/>
      <c r="T493" s="9" t="s">
        <v>1285</v>
      </c>
      <c r="U493" s="9" t="s">
        <v>1290</v>
      </c>
    </row>
    <row r="494" customFormat="false" ht="15" hidden="false" customHeight="false" outlineLevel="0" collapsed="false">
      <c r="A494" s="7" t="s">
        <v>43</v>
      </c>
      <c r="B494" s="7" t="s">
        <v>1291</v>
      </c>
      <c r="C494" s="8" t="s">
        <v>514</v>
      </c>
      <c r="D494" s="7" t="s">
        <v>1292</v>
      </c>
      <c r="E494" s="7" t="n">
        <v>15296</v>
      </c>
      <c r="F494" s="9" t="s">
        <v>1291</v>
      </c>
      <c r="G494" s="10" t="s">
        <v>1293</v>
      </c>
      <c r="H494" s="9" t="s">
        <v>1294</v>
      </c>
      <c r="I494" s="9" t="n">
        <v>283</v>
      </c>
      <c r="J494" s="9" t="n">
        <v>9724</v>
      </c>
      <c r="K494" s="11" t="n">
        <v>0.688</v>
      </c>
      <c r="L494" s="11" t="n">
        <v>1</v>
      </c>
      <c r="M494" s="9" t="n">
        <v>1</v>
      </c>
      <c r="N494" s="11" t="n">
        <v>0.832</v>
      </c>
      <c r="O494" s="11" t="n">
        <v>0.975</v>
      </c>
      <c r="P494" s="12"/>
      <c r="Q494" s="12"/>
      <c r="R494" s="12"/>
      <c r="S494" s="12"/>
      <c r="T494" s="9" t="s">
        <v>1295</v>
      </c>
      <c r="U494" s="9" t="s">
        <v>1293</v>
      </c>
    </row>
    <row r="495" customFormat="false" ht="15" hidden="false" customHeight="false" outlineLevel="0" collapsed="false">
      <c r="A495" s="9"/>
      <c r="B495" s="9"/>
      <c r="C495" s="9"/>
      <c r="D495" s="9"/>
      <c r="E495" s="9"/>
      <c r="F495" s="9" t="s">
        <v>1291</v>
      </c>
      <c r="G495" s="10" t="s">
        <v>1296</v>
      </c>
      <c r="H495" s="9" t="s">
        <v>1297</v>
      </c>
      <c r="I495" s="9" t="n">
        <v>22</v>
      </c>
      <c r="J495" s="9" t="n">
        <v>73</v>
      </c>
      <c r="K495" s="11" t="n">
        <v>0.005</v>
      </c>
      <c r="L495" s="11" t="n">
        <v>1</v>
      </c>
      <c r="M495" s="9" t="n">
        <v>1</v>
      </c>
      <c r="N495" s="11" t="n">
        <v>0.941</v>
      </c>
      <c r="O495" s="11" t="n">
        <v>0.891</v>
      </c>
      <c r="P495" s="12"/>
      <c r="Q495" s="12"/>
      <c r="R495" s="12"/>
      <c r="S495" s="12"/>
      <c r="T495" s="9" t="s">
        <v>1295</v>
      </c>
      <c r="U495" s="9" t="s">
        <v>1296</v>
      </c>
    </row>
    <row r="496" customFormat="false" ht="15" hidden="false" customHeight="false" outlineLevel="0" collapsed="false">
      <c r="A496" s="9"/>
      <c r="B496" s="9"/>
      <c r="C496" s="9"/>
      <c r="D496" s="9"/>
      <c r="E496" s="9"/>
      <c r="F496" s="9" t="s">
        <v>1291</v>
      </c>
      <c r="G496" s="10" t="s">
        <v>1298</v>
      </c>
      <c r="H496" s="9" t="s">
        <v>1299</v>
      </c>
      <c r="I496" s="9" t="n">
        <v>52</v>
      </c>
      <c r="J496" s="9" t="n">
        <v>1647</v>
      </c>
      <c r="K496" s="11" t="n">
        <v>0.116</v>
      </c>
      <c r="L496" s="11" t="n">
        <v>1</v>
      </c>
      <c r="M496" s="9" t="n">
        <v>1</v>
      </c>
      <c r="N496" s="11" t="n">
        <v>0</v>
      </c>
      <c r="O496" s="11" t="n">
        <v>0.85</v>
      </c>
      <c r="P496" s="12"/>
      <c r="Q496" s="12"/>
      <c r="R496" s="12"/>
      <c r="S496" s="12"/>
      <c r="T496" s="9" t="s">
        <v>1295</v>
      </c>
      <c r="U496" s="9" t="s">
        <v>1298</v>
      </c>
    </row>
    <row r="497" customFormat="false" ht="15" hidden="false" customHeight="false" outlineLevel="0" collapsed="false">
      <c r="A497" s="9"/>
      <c r="B497" s="9"/>
      <c r="C497" s="9"/>
      <c r="D497" s="9"/>
      <c r="E497" s="9"/>
      <c r="F497" s="9" t="s">
        <v>1291</v>
      </c>
      <c r="G497" s="10" t="s">
        <v>1300</v>
      </c>
      <c r="H497" s="9" t="s">
        <v>1172</v>
      </c>
      <c r="I497" s="9" t="n">
        <v>1</v>
      </c>
      <c r="J497" s="9" t="n">
        <v>1</v>
      </c>
      <c r="K497" s="11" t="n">
        <v>0</v>
      </c>
      <c r="L497" s="11" t="n">
        <v>1</v>
      </c>
      <c r="M497" s="9" t="n">
        <v>1</v>
      </c>
      <c r="N497" s="11" t="n">
        <v>0.667</v>
      </c>
      <c r="O497" s="11" t="n">
        <v>0.85</v>
      </c>
      <c r="P497" s="12"/>
      <c r="Q497" s="12"/>
      <c r="R497" s="12"/>
      <c r="S497" s="12"/>
      <c r="T497" s="9" t="s">
        <v>1295</v>
      </c>
      <c r="U497" s="9" t="s">
        <v>1300</v>
      </c>
    </row>
    <row r="498" customFormat="false" ht="15" hidden="false" customHeight="false" outlineLevel="0" collapsed="false">
      <c r="A498" s="9"/>
      <c r="B498" s="9"/>
      <c r="C498" s="9"/>
      <c r="D498" s="9"/>
      <c r="E498" s="9"/>
      <c r="F498" s="9" t="s">
        <v>1291</v>
      </c>
      <c r="G498" s="10" t="s">
        <v>1301</v>
      </c>
      <c r="H498" s="9" t="s">
        <v>1302</v>
      </c>
      <c r="I498" s="9" t="n">
        <v>44</v>
      </c>
      <c r="J498" s="9" t="n">
        <v>363</v>
      </c>
      <c r="K498" s="11" t="n">
        <v>0.026</v>
      </c>
      <c r="L498" s="11" t="n">
        <v>1</v>
      </c>
      <c r="M498" s="9" t="n">
        <v>1</v>
      </c>
      <c r="N498" s="11" t="n">
        <v>0</v>
      </c>
      <c r="O498" s="11" t="n">
        <v>0.75</v>
      </c>
      <c r="P498" s="12"/>
      <c r="Q498" s="12"/>
      <c r="R498" s="12"/>
      <c r="S498" s="12"/>
      <c r="T498" s="9" t="s">
        <v>1295</v>
      </c>
      <c r="U498" s="9" t="s">
        <v>1301</v>
      </c>
    </row>
    <row r="499" customFormat="false" ht="15" hidden="false" customHeight="false" outlineLevel="0" collapsed="false">
      <c r="A499" s="7" t="s">
        <v>43</v>
      </c>
      <c r="B499" s="7" t="s">
        <v>1303</v>
      </c>
      <c r="C499" s="8" t="s">
        <v>1304</v>
      </c>
      <c r="D499" s="7" t="s">
        <v>1305</v>
      </c>
      <c r="E499" s="7" t="n">
        <v>192</v>
      </c>
      <c r="F499" s="9" t="s">
        <v>1303</v>
      </c>
      <c r="G499" s="10" t="s">
        <v>1306</v>
      </c>
      <c r="H499" s="9"/>
      <c r="I499" s="9" t="n">
        <v>6</v>
      </c>
      <c r="J499" s="9" t="n">
        <v>89</v>
      </c>
      <c r="K499" s="11" t="n">
        <v>0.533</v>
      </c>
      <c r="L499" s="11" t="n">
        <v>1</v>
      </c>
      <c r="M499" s="9" t="n">
        <v>1</v>
      </c>
      <c r="N499" s="11" t="n">
        <v>1</v>
      </c>
      <c r="O499" s="11" t="n">
        <v>1</v>
      </c>
      <c r="P499" s="12"/>
      <c r="Q499" s="12"/>
      <c r="R499" s="12"/>
      <c r="S499" s="12"/>
      <c r="T499" s="9" t="s">
        <v>1307</v>
      </c>
      <c r="U499" s="9" t="s">
        <v>1306</v>
      </c>
    </row>
    <row r="500" customFormat="false" ht="15" hidden="false" customHeight="false" outlineLevel="0" collapsed="false">
      <c r="A500" s="9"/>
      <c r="B500" s="9"/>
      <c r="C500" s="9"/>
      <c r="D500" s="9"/>
      <c r="E500" s="9"/>
      <c r="F500" s="9" t="s">
        <v>1303</v>
      </c>
      <c r="G500" s="10" t="s">
        <v>1308</v>
      </c>
      <c r="H500" s="9" t="s">
        <v>1304</v>
      </c>
      <c r="I500" s="9" t="n">
        <v>7</v>
      </c>
      <c r="J500" s="9" t="n">
        <v>10</v>
      </c>
      <c r="K500" s="11" t="n">
        <v>0.06</v>
      </c>
      <c r="L500" s="11" t="n">
        <v>1</v>
      </c>
      <c r="M500" s="9" t="n">
        <v>1</v>
      </c>
      <c r="N500" s="11" t="n">
        <v>1</v>
      </c>
      <c r="O500" s="11" t="n">
        <v>0.95</v>
      </c>
      <c r="P500" s="12"/>
      <c r="Q500" s="12"/>
      <c r="R500" s="12"/>
      <c r="S500" s="12"/>
      <c r="T500" s="9" t="s">
        <v>1307</v>
      </c>
      <c r="U500" s="9" t="s">
        <v>1308</v>
      </c>
    </row>
    <row r="501" customFormat="false" ht="15" hidden="false" customHeight="false" outlineLevel="0" collapsed="false">
      <c r="A501" s="9"/>
      <c r="B501" s="9"/>
      <c r="C501" s="9"/>
      <c r="D501" s="9"/>
      <c r="E501" s="9"/>
      <c r="F501" s="9" t="s">
        <v>1303</v>
      </c>
      <c r="G501" s="10" t="s">
        <v>1309</v>
      </c>
      <c r="H501" s="9" t="s">
        <v>1304</v>
      </c>
      <c r="I501" s="9" t="n">
        <v>2</v>
      </c>
      <c r="J501" s="9" t="n">
        <v>0</v>
      </c>
      <c r="K501" s="11" t="n">
        <v>0</v>
      </c>
      <c r="L501" s="11" t="n">
        <v>1</v>
      </c>
      <c r="M501" s="9" t="n">
        <v>1</v>
      </c>
      <c r="N501" s="11" t="n">
        <v>1</v>
      </c>
      <c r="O501" s="11" t="n">
        <v>0.9</v>
      </c>
      <c r="P501" s="12"/>
      <c r="Q501" s="12"/>
      <c r="R501" s="12"/>
      <c r="S501" s="12"/>
      <c r="T501" s="9" t="s">
        <v>1307</v>
      </c>
      <c r="U501" s="9" t="s">
        <v>1309</v>
      </c>
    </row>
    <row r="502" customFormat="false" ht="15" hidden="false" customHeight="false" outlineLevel="0" collapsed="false">
      <c r="A502" s="9"/>
      <c r="B502" s="9"/>
      <c r="C502" s="9"/>
      <c r="D502" s="9"/>
      <c r="E502" s="9"/>
      <c r="F502" s="9" t="s">
        <v>1303</v>
      </c>
      <c r="G502" s="10" t="s">
        <v>1310</v>
      </c>
      <c r="H502" s="9" t="s">
        <v>1304</v>
      </c>
      <c r="I502" s="9" t="n">
        <v>2</v>
      </c>
      <c r="J502" s="9" t="n">
        <v>0</v>
      </c>
      <c r="K502" s="11" t="n">
        <v>0</v>
      </c>
      <c r="L502" s="11" t="n">
        <v>1</v>
      </c>
      <c r="M502" s="9" t="n">
        <v>1</v>
      </c>
      <c r="N502" s="11" t="n">
        <v>0.75</v>
      </c>
      <c r="O502" s="11" t="n">
        <v>0.863</v>
      </c>
      <c r="P502" s="12"/>
      <c r="Q502" s="12"/>
      <c r="R502" s="12"/>
      <c r="S502" s="12"/>
      <c r="T502" s="9" t="s">
        <v>1307</v>
      </c>
      <c r="U502" s="9" t="s">
        <v>1310</v>
      </c>
    </row>
    <row r="503" customFormat="false" ht="15" hidden="false" customHeight="false" outlineLevel="0" collapsed="false">
      <c r="A503" s="9"/>
      <c r="B503" s="9"/>
      <c r="C503" s="9"/>
      <c r="D503" s="9"/>
      <c r="E503" s="9"/>
      <c r="F503" s="9" t="s">
        <v>1303</v>
      </c>
      <c r="G503" s="10" t="s">
        <v>1311</v>
      </c>
      <c r="H503" s="9" t="s">
        <v>380</v>
      </c>
      <c r="I503" s="9" t="n">
        <v>2</v>
      </c>
      <c r="J503" s="9" t="n">
        <v>21</v>
      </c>
      <c r="K503" s="11" t="n">
        <v>0.126</v>
      </c>
      <c r="L503" s="11" t="n">
        <v>1</v>
      </c>
      <c r="M503" s="9" t="n">
        <v>0.5</v>
      </c>
      <c r="N503" s="11" t="n">
        <v>1</v>
      </c>
      <c r="O503" s="11" t="n">
        <v>0.85</v>
      </c>
      <c r="P503" s="12"/>
      <c r="Q503" s="12"/>
      <c r="R503" s="12"/>
      <c r="S503" s="12"/>
      <c r="T503" s="9" t="s">
        <v>1307</v>
      </c>
      <c r="U503" s="9" t="s">
        <v>1311</v>
      </c>
    </row>
    <row r="504" customFormat="false" ht="15" hidden="false" customHeight="false" outlineLevel="0" collapsed="false">
      <c r="A504" s="7" t="s">
        <v>1312</v>
      </c>
      <c r="B504" s="7" t="s">
        <v>1313</v>
      </c>
      <c r="C504" s="8" t="s">
        <v>1314</v>
      </c>
      <c r="D504" s="7" t="s">
        <v>1315</v>
      </c>
      <c r="E504" s="7" t="n">
        <v>181</v>
      </c>
      <c r="F504" s="9" t="s">
        <v>1313</v>
      </c>
      <c r="G504" s="10" t="s">
        <v>1316</v>
      </c>
      <c r="H504" s="9"/>
      <c r="I504" s="9" t="n">
        <v>2</v>
      </c>
      <c r="J504" s="9" t="n">
        <v>1</v>
      </c>
      <c r="K504" s="11" t="n">
        <v>0.006</v>
      </c>
      <c r="L504" s="11" t="n">
        <v>1</v>
      </c>
      <c r="M504" s="9" t="n">
        <v>0</v>
      </c>
      <c r="N504" s="11" t="n">
        <v>1</v>
      </c>
      <c r="O504" s="11" t="n">
        <v>0.6</v>
      </c>
      <c r="P504" s="12"/>
      <c r="Q504" s="12"/>
      <c r="R504" s="12"/>
      <c r="S504" s="12"/>
      <c r="T504" s="9" t="s">
        <v>1317</v>
      </c>
      <c r="U504" s="9" t="s">
        <v>1316</v>
      </c>
    </row>
    <row r="505" customFormat="false" ht="15" hidden="false" customHeight="false" outlineLevel="0" collapsed="false">
      <c r="A505" s="9"/>
      <c r="B505" s="9"/>
      <c r="C505" s="9"/>
      <c r="D505" s="9"/>
      <c r="E505" s="9"/>
      <c r="F505" s="9" t="s">
        <v>1318</v>
      </c>
      <c r="G505" s="10" t="s">
        <v>1319</v>
      </c>
      <c r="H505" s="9"/>
      <c r="I505" s="9" t="n">
        <v>1</v>
      </c>
      <c r="J505" s="9" t="n">
        <v>0</v>
      </c>
      <c r="K505" s="11" t="n">
        <v>0</v>
      </c>
      <c r="L505" s="11" t="n">
        <v>1</v>
      </c>
      <c r="M505" s="9" t="n">
        <v>0</v>
      </c>
      <c r="N505" s="11" t="n">
        <v>1</v>
      </c>
      <c r="O505" s="11" t="n">
        <v>0.6</v>
      </c>
      <c r="P505" s="12"/>
      <c r="Q505" s="12"/>
      <c r="R505" s="12"/>
      <c r="S505" s="12"/>
      <c r="T505" s="9" t="s">
        <v>1317</v>
      </c>
      <c r="U505" s="9" t="s">
        <v>1319</v>
      </c>
    </row>
    <row r="506" customFormat="false" ht="15" hidden="false" customHeight="false" outlineLevel="0" collapsed="false">
      <c r="A506" s="9"/>
      <c r="B506" s="9"/>
      <c r="C506" s="9"/>
      <c r="D506" s="9"/>
      <c r="E506" s="9"/>
      <c r="F506" s="9" t="s">
        <v>1313</v>
      </c>
      <c r="G506" s="10" t="s">
        <v>1320</v>
      </c>
      <c r="H506" s="9"/>
      <c r="I506" s="9" t="n">
        <v>4</v>
      </c>
      <c r="J506" s="9" t="n">
        <v>2</v>
      </c>
      <c r="K506" s="11" t="n">
        <v>0.011</v>
      </c>
      <c r="L506" s="11" t="n">
        <v>1</v>
      </c>
      <c r="M506" s="9" t="n">
        <v>0</v>
      </c>
      <c r="N506" s="11" t="n">
        <v>0.8</v>
      </c>
      <c r="O506" s="11" t="n">
        <v>0.57</v>
      </c>
      <c r="P506" s="12"/>
      <c r="Q506" s="12"/>
      <c r="R506" s="12"/>
      <c r="S506" s="12"/>
      <c r="T506" s="9" t="s">
        <v>1317</v>
      </c>
      <c r="U506" s="9" t="s">
        <v>1320</v>
      </c>
    </row>
    <row r="507" customFormat="false" ht="15" hidden="false" customHeight="false" outlineLevel="0" collapsed="false">
      <c r="A507" s="9"/>
      <c r="B507" s="9"/>
      <c r="C507" s="9"/>
      <c r="D507" s="9"/>
      <c r="E507" s="9"/>
      <c r="F507" s="9" t="s">
        <v>1321</v>
      </c>
      <c r="G507" s="10" t="s">
        <v>1322</v>
      </c>
      <c r="H507" s="9" t="s">
        <v>1323</v>
      </c>
      <c r="I507" s="9" t="n">
        <v>10</v>
      </c>
      <c r="J507" s="9" t="n">
        <v>128</v>
      </c>
      <c r="K507" s="11" t="n">
        <v>0.707</v>
      </c>
      <c r="L507" s="11" t="n">
        <v>1</v>
      </c>
      <c r="M507" s="9" t="n">
        <v>0</v>
      </c>
      <c r="N507" s="11" t="n">
        <v>0</v>
      </c>
      <c r="O507" s="11" t="n">
        <v>0.55</v>
      </c>
      <c r="P507" s="12"/>
      <c r="Q507" s="12"/>
      <c r="R507" s="12"/>
      <c r="S507" s="12"/>
      <c r="T507" s="9" t="s">
        <v>1317</v>
      </c>
      <c r="U507" s="9" t="s">
        <v>1322</v>
      </c>
    </row>
    <row r="508" customFormat="false" ht="15" hidden="false" customHeight="false" outlineLevel="0" collapsed="false">
      <c r="A508" s="9"/>
      <c r="B508" s="9"/>
      <c r="C508" s="9"/>
      <c r="D508" s="9"/>
      <c r="E508" s="9"/>
      <c r="F508" s="9" t="s">
        <v>1324</v>
      </c>
      <c r="G508" s="10" t="s">
        <v>1325</v>
      </c>
      <c r="H508" s="9" t="s">
        <v>1326</v>
      </c>
      <c r="I508" s="9" t="n">
        <v>4</v>
      </c>
      <c r="J508" s="9" t="n">
        <v>57</v>
      </c>
      <c r="K508" s="11" t="n">
        <v>0.315</v>
      </c>
      <c r="L508" s="11" t="n">
        <v>1</v>
      </c>
      <c r="M508" s="9" t="n">
        <v>0</v>
      </c>
      <c r="N508" s="11" t="n">
        <v>0</v>
      </c>
      <c r="O508" s="11" t="n">
        <v>0.55</v>
      </c>
      <c r="P508" s="12"/>
      <c r="Q508" s="12"/>
      <c r="R508" s="12"/>
      <c r="S508" s="12"/>
      <c r="T508" s="9" t="s">
        <v>1317</v>
      </c>
      <c r="U508" s="9" t="s">
        <v>1325</v>
      </c>
    </row>
    <row r="509" customFormat="false" ht="15" hidden="false" customHeight="false" outlineLevel="0" collapsed="false">
      <c r="A509" s="7" t="s">
        <v>1312</v>
      </c>
      <c r="B509" s="7" t="s">
        <v>1327</v>
      </c>
      <c r="C509" s="8" t="s">
        <v>74</v>
      </c>
      <c r="D509" s="7" t="s">
        <v>1328</v>
      </c>
      <c r="E509" s="7" t="n">
        <v>15</v>
      </c>
      <c r="F509" s="9" t="s">
        <v>1327</v>
      </c>
      <c r="G509" s="10" t="s">
        <v>1329</v>
      </c>
      <c r="H509" s="9" t="s">
        <v>50</v>
      </c>
      <c r="I509" s="9" t="n">
        <v>2</v>
      </c>
      <c r="J509" s="9" t="n">
        <v>9</v>
      </c>
      <c r="K509" s="11" t="n">
        <v>0.818</v>
      </c>
      <c r="L509" s="11" t="n">
        <v>1</v>
      </c>
      <c r="M509" s="9" t="n">
        <v>0.5</v>
      </c>
      <c r="N509" s="11" t="n">
        <v>1</v>
      </c>
      <c r="O509" s="11" t="n">
        <v>0.85</v>
      </c>
      <c r="P509" s="12"/>
      <c r="Q509" s="12"/>
      <c r="R509" s="12"/>
      <c r="S509" s="12"/>
      <c r="T509" s="9" t="s">
        <v>1330</v>
      </c>
      <c r="U509" s="9" t="s">
        <v>1329</v>
      </c>
    </row>
    <row r="510" customFormat="false" ht="15" hidden="false" customHeight="false" outlineLevel="0" collapsed="false">
      <c r="A510" s="7" t="s">
        <v>1312</v>
      </c>
      <c r="B510" s="7" t="s">
        <v>1331</v>
      </c>
      <c r="C510" s="8" t="s">
        <v>1332</v>
      </c>
      <c r="D510" s="7" t="s">
        <v>1333</v>
      </c>
      <c r="E510" s="7" t="n">
        <v>10</v>
      </c>
      <c r="F510" s="9" t="s">
        <v>1331</v>
      </c>
      <c r="G510" s="10" t="s">
        <v>1334</v>
      </c>
      <c r="H510" s="9" t="s">
        <v>1335</v>
      </c>
      <c r="I510" s="9" t="n">
        <v>7</v>
      </c>
      <c r="J510" s="9" t="n">
        <v>23</v>
      </c>
      <c r="K510" s="11" t="n">
        <v>2.3</v>
      </c>
      <c r="L510" s="11" t="n">
        <v>1</v>
      </c>
      <c r="M510" s="9" t="n">
        <v>0.5</v>
      </c>
      <c r="N510" s="11" t="n">
        <v>1</v>
      </c>
      <c r="O510" s="11" t="n">
        <v>0.8</v>
      </c>
      <c r="P510" s="12"/>
      <c r="Q510" s="12"/>
      <c r="R510" s="12"/>
      <c r="S510" s="12"/>
      <c r="T510" s="9" t="s">
        <v>1336</v>
      </c>
      <c r="U510" s="9" t="s">
        <v>1334</v>
      </c>
    </row>
    <row r="511" customFormat="false" ht="15" hidden="false" customHeight="false" outlineLevel="0" collapsed="false">
      <c r="A511" s="9"/>
      <c r="B511" s="9"/>
      <c r="C511" s="9"/>
      <c r="D511" s="9"/>
      <c r="E511" s="9"/>
      <c r="F511" s="9" t="s">
        <v>1331</v>
      </c>
      <c r="G511" s="10" t="s">
        <v>1337</v>
      </c>
      <c r="H511" s="9" t="s">
        <v>1338</v>
      </c>
      <c r="I511" s="9" t="n">
        <v>1</v>
      </c>
      <c r="J511" s="9" t="n">
        <v>1</v>
      </c>
      <c r="K511" s="11" t="n">
        <v>0.1</v>
      </c>
      <c r="L511" s="11" t="n">
        <v>1</v>
      </c>
      <c r="M511" s="9" t="n">
        <v>0</v>
      </c>
      <c r="N511" s="11" t="n">
        <v>1</v>
      </c>
      <c r="O511" s="11" t="n">
        <v>0.7</v>
      </c>
      <c r="P511" s="12"/>
      <c r="Q511" s="12"/>
      <c r="R511" s="12"/>
      <c r="S511" s="12"/>
      <c r="T511" s="9" t="s">
        <v>1336</v>
      </c>
      <c r="U511" s="9" t="s">
        <v>1337</v>
      </c>
    </row>
    <row r="512" customFormat="false" ht="15" hidden="false" customHeight="false" outlineLevel="0" collapsed="false">
      <c r="A512" s="9"/>
      <c r="B512" s="9"/>
      <c r="C512" s="9"/>
      <c r="D512" s="9"/>
      <c r="E512" s="9"/>
      <c r="F512" s="9" t="s">
        <v>1331</v>
      </c>
      <c r="G512" s="10" t="s">
        <v>1339</v>
      </c>
      <c r="H512" s="9" t="s">
        <v>1340</v>
      </c>
      <c r="I512" s="9" t="n">
        <v>1</v>
      </c>
      <c r="J512" s="9" t="n">
        <v>1</v>
      </c>
      <c r="K512" s="11" t="n">
        <v>0.1</v>
      </c>
      <c r="L512" s="11" t="n">
        <v>1</v>
      </c>
      <c r="M512" s="9" t="n">
        <v>0</v>
      </c>
      <c r="N512" s="11" t="n">
        <v>1</v>
      </c>
      <c r="O512" s="11" t="n">
        <v>0.7</v>
      </c>
      <c r="P512" s="12"/>
      <c r="Q512" s="12"/>
      <c r="R512" s="12"/>
      <c r="S512" s="12"/>
      <c r="T512" s="9" t="s">
        <v>1336</v>
      </c>
      <c r="U512" s="9" t="s">
        <v>1339</v>
      </c>
    </row>
    <row r="513" customFormat="false" ht="15" hidden="false" customHeight="false" outlineLevel="0" collapsed="false">
      <c r="A513" s="9"/>
      <c r="B513" s="9"/>
      <c r="C513" s="9"/>
      <c r="D513" s="9"/>
      <c r="E513" s="9"/>
      <c r="F513" s="9" t="s">
        <v>1341</v>
      </c>
      <c r="G513" s="10" t="s">
        <v>1342</v>
      </c>
      <c r="H513" s="9" t="s">
        <v>1343</v>
      </c>
      <c r="I513" s="9" t="n">
        <v>1</v>
      </c>
      <c r="J513" s="9" t="n">
        <v>13</v>
      </c>
      <c r="K513" s="11" t="n">
        <v>1.3</v>
      </c>
      <c r="L513" s="11" t="n">
        <v>1</v>
      </c>
      <c r="M513" s="9" t="n">
        <v>0</v>
      </c>
      <c r="N513" s="11" t="n">
        <v>1</v>
      </c>
      <c r="O513" s="11" t="n">
        <v>0.7</v>
      </c>
      <c r="P513" s="12"/>
      <c r="Q513" s="12"/>
      <c r="R513" s="12"/>
      <c r="S513" s="12"/>
      <c r="T513" s="9" t="s">
        <v>1336</v>
      </c>
      <c r="U513" s="9" t="s">
        <v>1342</v>
      </c>
    </row>
    <row r="514" customFormat="false" ht="15" hidden="false" customHeight="false" outlineLevel="0" collapsed="false">
      <c r="A514" s="9"/>
      <c r="B514" s="9"/>
      <c r="C514" s="9"/>
      <c r="D514" s="9"/>
      <c r="E514" s="9"/>
      <c r="F514" s="9" t="s">
        <v>1344</v>
      </c>
      <c r="G514" s="10" t="s">
        <v>1345</v>
      </c>
      <c r="H514" s="9"/>
      <c r="I514" s="9" t="n">
        <v>1</v>
      </c>
      <c r="J514" s="9" t="n">
        <v>1</v>
      </c>
      <c r="K514" s="11" t="n">
        <v>0.1</v>
      </c>
      <c r="L514" s="11" t="n">
        <v>1</v>
      </c>
      <c r="M514" s="9" t="n">
        <v>0</v>
      </c>
      <c r="N514" s="11" t="n">
        <v>1</v>
      </c>
      <c r="O514" s="11" t="n">
        <v>0.7</v>
      </c>
      <c r="P514" s="12"/>
      <c r="Q514" s="12"/>
      <c r="R514" s="12"/>
      <c r="S514" s="12"/>
      <c r="T514" s="9" t="s">
        <v>1336</v>
      </c>
      <c r="U514" s="9" t="s">
        <v>1345</v>
      </c>
    </row>
    <row r="515" customFormat="false" ht="15" hidden="false" customHeight="false" outlineLevel="0" collapsed="false">
      <c r="A515" s="7" t="s">
        <v>1312</v>
      </c>
      <c r="B515" s="7" t="s">
        <v>1346</v>
      </c>
      <c r="C515" s="8" t="s">
        <v>1332</v>
      </c>
      <c r="D515" s="7" t="s">
        <v>1347</v>
      </c>
      <c r="E515" s="7" t="n">
        <v>1812</v>
      </c>
      <c r="F515" s="9" t="s">
        <v>1348</v>
      </c>
      <c r="G515" s="10" t="s">
        <v>1349</v>
      </c>
      <c r="H515" s="9" t="s">
        <v>1190</v>
      </c>
      <c r="I515" s="9" t="n">
        <v>43</v>
      </c>
      <c r="J515" s="9" t="n">
        <v>1003</v>
      </c>
      <c r="K515" s="11" t="n">
        <v>0.582</v>
      </c>
      <c r="L515" s="11" t="n">
        <v>1</v>
      </c>
      <c r="M515" s="9" t="n">
        <v>0.5</v>
      </c>
      <c r="N515" s="11" t="n">
        <v>0.553</v>
      </c>
      <c r="O515" s="11" t="n">
        <v>0.783</v>
      </c>
      <c r="P515" s="12"/>
      <c r="Q515" s="12"/>
      <c r="R515" s="12"/>
      <c r="S515" s="12"/>
      <c r="T515" s="9" t="s">
        <v>1350</v>
      </c>
      <c r="U515" s="9" t="s">
        <v>1349</v>
      </c>
    </row>
    <row r="516" customFormat="false" ht="15" hidden="false" customHeight="false" outlineLevel="0" collapsed="false">
      <c r="A516" s="9"/>
      <c r="B516" s="9"/>
      <c r="C516" s="9"/>
      <c r="D516" s="9"/>
      <c r="E516" s="9"/>
      <c r="F516" s="9" t="s">
        <v>1351</v>
      </c>
      <c r="G516" s="10" t="s">
        <v>1352</v>
      </c>
      <c r="H516" s="9"/>
      <c r="I516" s="9" t="n">
        <v>1</v>
      </c>
      <c r="J516" s="9" t="n">
        <v>2</v>
      </c>
      <c r="K516" s="11" t="n">
        <v>0.001</v>
      </c>
      <c r="L516" s="11" t="n">
        <v>0.805</v>
      </c>
      <c r="M516" s="9" t="n">
        <v>0</v>
      </c>
      <c r="N516" s="11" t="n">
        <v>0.333</v>
      </c>
      <c r="O516" s="11" t="n">
        <v>0.412</v>
      </c>
      <c r="P516" s="12"/>
      <c r="Q516" s="12"/>
      <c r="R516" s="12"/>
      <c r="S516" s="12"/>
      <c r="T516" s="9" t="s">
        <v>1350</v>
      </c>
      <c r="U516" s="9" t="s">
        <v>1352</v>
      </c>
    </row>
    <row r="517" customFormat="false" ht="15" hidden="false" customHeight="false" outlineLevel="0" collapsed="false">
      <c r="A517" s="7" t="s">
        <v>1312</v>
      </c>
      <c r="B517" s="7" t="s">
        <v>1353</v>
      </c>
      <c r="C517" s="8" t="s">
        <v>997</v>
      </c>
      <c r="D517" s="7" t="s">
        <v>1354</v>
      </c>
      <c r="E517" s="7" t="n">
        <v>17667</v>
      </c>
      <c r="F517" s="9" t="s">
        <v>1353</v>
      </c>
      <c r="G517" s="10" t="s">
        <v>1355</v>
      </c>
      <c r="H517" s="9" t="s">
        <v>1356</v>
      </c>
      <c r="I517" s="9" t="n">
        <v>5</v>
      </c>
      <c r="J517" s="9" t="n">
        <v>101</v>
      </c>
      <c r="K517" s="11" t="n">
        <v>0.006</v>
      </c>
      <c r="L517" s="11" t="n">
        <v>1</v>
      </c>
      <c r="M517" s="9" t="n">
        <v>0.5</v>
      </c>
      <c r="N517" s="11" t="n">
        <v>1</v>
      </c>
      <c r="O517" s="11" t="n">
        <v>0.75</v>
      </c>
      <c r="P517" s="12"/>
      <c r="Q517" s="12"/>
      <c r="R517" s="12"/>
      <c r="S517" s="12"/>
      <c r="T517" s="9" t="s">
        <v>1357</v>
      </c>
      <c r="U517" s="9" t="s">
        <v>1355</v>
      </c>
    </row>
    <row r="518" customFormat="false" ht="15" hidden="false" customHeight="false" outlineLevel="0" collapsed="false">
      <c r="A518" s="9"/>
      <c r="B518" s="9"/>
      <c r="C518" s="9"/>
      <c r="D518" s="9"/>
      <c r="E518" s="9"/>
      <c r="F518" s="9" t="s">
        <v>1358</v>
      </c>
      <c r="G518" s="10" t="s">
        <v>1359</v>
      </c>
      <c r="H518" s="9"/>
      <c r="I518" s="9" t="n">
        <v>1</v>
      </c>
      <c r="J518" s="9" t="n">
        <v>0</v>
      </c>
      <c r="K518" s="11" t="n">
        <v>0</v>
      </c>
      <c r="L518" s="11" t="n">
        <v>0.3</v>
      </c>
      <c r="M518" s="9" t="n">
        <v>0</v>
      </c>
      <c r="N518" s="11" t="n">
        <v>0.667</v>
      </c>
      <c r="O518" s="11" t="n">
        <v>0.235</v>
      </c>
      <c r="P518" s="12"/>
      <c r="Q518" s="12"/>
      <c r="R518" s="12"/>
      <c r="S518" s="12"/>
      <c r="T518" s="9" t="s">
        <v>1357</v>
      </c>
      <c r="U518" s="9" t="s">
        <v>1359</v>
      </c>
    </row>
    <row r="519" customFormat="false" ht="15" hidden="false" customHeight="false" outlineLevel="0" collapsed="false">
      <c r="A519" s="7" t="s">
        <v>1312</v>
      </c>
      <c r="B519" s="7" t="s">
        <v>1360</v>
      </c>
      <c r="C519" s="8" t="s">
        <v>268</v>
      </c>
      <c r="D519" s="7" t="s">
        <v>1361</v>
      </c>
      <c r="E519" s="7" t="n">
        <v>2227</v>
      </c>
      <c r="F519" s="9" t="s">
        <v>1362</v>
      </c>
      <c r="G519" s="10" t="s">
        <v>1363</v>
      </c>
      <c r="H519" s="9"/>
      <c r="I519" s="9" t="n">
        <v>499</v>
      </c>
      <c r="J519" s="9" t="n">
        <v>929</v>
      </c>
      <c r="K519" s="11" t="n">
        <v>0.436</v>
      </c>
      <c r="L519" s="11" t="n">
        <v>1</v>
      </c>
      <c r="M519" s="9" t="n">
        <v>0</v>
      </c>
      <c r="N519" s="11" t="n">
        <v>0.856</v>
      </c>
      <c r="O519" s="11" t="n">
        <v>0.678</v>
      </c>
      <c r="P519" s="12"/>
      <c r="Q519" s="12"/>
      <c r="R519" s="12"/>
      <c r="S519" s="12"/>
      <c r="T519" s="9" t="s">
        <v>1364</v>
      </c>
      <c r="U519" s="9" t="s">
        <v>1363</v>
      </c>
    </row>
    <row r="520" customFormat="false" ht="15" hidden="false" customHeight="false" outlineLevel="0" collapsed="false">
      <c r="A520" s="9"/>
      <c r="B520" s="9"/>
      <c r="C520" s="9"/>
      <c r="D520" s="9"/>
      <c r="E520" s="9"/>
      <c r="F520" s="9" t="s">
        <v>1360</v>
      </c>
      <c r="G520" s="10" t="s">
        <v>1365</v>
      </c>
      <c r="H520" s="9" t="s">
        <v>1366</v>
      </c>
      <c r="I520" s="9" t="n">
        <v>19</v>
      </c>
      <c r="J520" s="9" t="n">
        <v>134</v>
      </c>
      <c r="K520" s="11" t="n">
        <v>0.063</v>
      </c>
      <c r="L520" s="11" t="n">
        <v>1</v>
      </c>
      <c r="M520" s="9" t="n">
        <v>0</v>
      </c>
      <c r="N520" s="11" t="n">
        <v>0.9</v>
      </c>
      <c r="O520" s="11" t="n">
        <v>0.635</v>
      </c>
      <c r="P520" s="12"/>
      <c r="Q520" s="12"/>
      <c r="R520" s="12"/>
      <c r="S520" s="12"/>
      <c r="T520" s="9" t="s">
        <v>1364</v>
      </c>
      <c r="U520" s="9" t="s">
        <v>1365</v>
      </c>
    </row>
    <row r="521" customFormat="false" ht="15" hidden="false" customHeight="false" outlineLevel="0" collapsed="false">
      <c r="A521" s="9"/>
      <c r="B521" s="9"/>
      <c r="C521" s="9"/>
      <c r="D521" s="9"/>
      <c r="E521" s="9"/>
      <c r="F521" s="9" t="s">
        <v>1360</v>
      </c>
      <c r="G521" s="10" t="s">
        <v>1367</v>
      </c>
      <c r="H521" s="9"/>
      <c r="I521" s="9" t="n">
        <v>22</v>
      </c>
      <c r="J521" s="9" t="n">
        <v>133</v>
      </c>
      <c r="K521" s="11" t="n">
        <v>0.062</v>
      </c>
      <c r="L521" s="11" t="n">
        <v>1</v>
      </c>
      <c r="M521" s="9" t="n">
        <v>0</v>
      </c>
      <c r="N521" s="11" t="n">
        <v>0.846</v>
      </c>
      <c r="O521" s="11" t="n">
        <v>0.627</v>
      </c>
      <c r="P521" s="12"/>
      <c r="Q521" s="12"/>
      <c r="R521" s="12"/>
      <c r="S521" s="12"/>
      <c r="T521" s="9" t="s">
        <v>1364</v>
      </c>
      <c r="U521" s="9" t="s">
        <v>1367</v>
      </c>
    </row>
    <row r="522" customFormat="false" ht="15" hidden="false" customHeight="false" outlineLevel="0" collapsed="false">
      <c r="A522" s="9"/>
      <c r="B522" s="9"/>
      <c r="C522" s="9"/>
      <c r="D522" s="9"/>
      <c r="E522" s="9"/>
      <c r="F522" s="9" t="s">
        <v>1360</v>
      </c>
      <c r="G522" s="10" t="s">
        <v>1368</v>
      </c>
      <c r="H522" s="9" t="s">
        <v>1369</v>
      </c>
      <c r="I522" s="9" t="n">
        <v>11</v>
      </c>
      <c r="J522" s="9" t="n">
        <v>263</v>
      </c>
      <c r="K522" s="11" t="n">
        <v>0.123</v>
      </c>
      <c r="L522" s="11" t="n">
        <v>1</v>
      </c>
      <c r="M522" s="9" t="n">
        <v>0</v>
      </c>
      <c r="N522" s="11" t="n">
        <v>0.5</v>
      </c>
      <c r="O522" s="11" t="n">
        <v>0.625</v>
      </c>
      <c r="P522" s="12"/>
      <c r="Q522" s="12"/>
      <c r="R522" s="12"/>
      <c r="S522" s="12"/>
      <c r="T522" s="9" t="s">
        <v>1364</v>
      </c>
      <c r="U522" s="9" t="s">
        <v>1368</v>
      </c>
    </row>
    <row r="523" customFormat="false" ht="15" hidden="false" customHeight="false" outlineLevel="0" collapsed="false">
      <c r="A523" s="9"/>
      <c r="B523" s="9"/>
      <c r="C523" s="9"/>
      <c r="D523" s="9"/>
      <c r="E523" s="9"/>
      <c r="F523" s="9" t="s">
        <v>1360</v>
      </c>
      <c r="G523" s="10" t="s">
        <v>1370</v>
      </c>
      <c r="H523" s="9" t="s">
        <v>1371</v>
      </c>
      <c r="I523" s="9" t="n">
        <v>37</v>
      </c>
      <c r="J523" s="9" t="n">
        <v>65</v>
      </c>
      <c r="K523" s="11" t="n">
        <v>0.03</v>
      </c>
      <c r="L523" s="11" t="n">
        <v>1</v>
      </c>
      <c r="M523" s="9" t="n">
        <v>0</v>
      </c>
      <c r="N523" s="11" t="n">
        <v>0.778</v>
      </c>
      <c r="O523" s="11" t="n">
        <v>0.617</v>
      </c>
      <c r="P523" s="12"/>
      <c r="Q523" s="12"/>
      <c r="R523" s="12"/>
      <c r="S523" s="12"/>
      <c r="T523" s="9" t="s">
        <v>1364</v>
      </c>
      <c r="U523" s="9" t="s">
        <v>1370</v>
      </c>
    </row>
    <row r="524" customFormat="false" ht="15" hidden="false" customHeight="false" outlineLevel="0" collapsed="false">
      <c r="A524" s="7" t="s">
        <v>1312</v>
      </c>
      <c r="B524" s="7" t="s">
        <v>1372</v>
      </c>
      <c r="C524" s="8" t="s">
        <v>396</v>
      </c>
      <c r="D524" s="7" t="s">
        <v>1373</v>
      </c>
      <c r="E524" s="7" t="n">
        <v>1560</v>
      </c>
      <c r="F524" s="9" t="s">
        <v>1374</v>
      </c>
      <c r="G524" s="10" t="s">
        <v>1375</v>
      </c>
      <c r="H524" s="9" t="s">
        <v>1103</v>
      </c>
      <c r="I524" s="9" t="n">
        <v>2</v>
      </c>
      <c r="J524" s="9" t="n">
        <v>14</v>
      </c>
      <c r="K524" s="11" t="n">
        <v>0.01</v>
      </c>
      <c r="L524" s="11" t="n">
        <v>1</v>
      </c>
      <c r="M524" s="9" t="n">
        <v>0</v>
      </c>
      <c r="N524" s="11" t="n">
        <v>0</v>
      </c>
      <c r="O524" s="11" t="n">
        <v>0.45</v>
      </c>
      <c r="P524" s="12"/>
      <c r="Q524" s="12"/>
      <c r="R524" s="12"/>
      <c r="S524" s="12"/>
      <c r="T524" s="9" t="s">
        <v>1376</v>
      </c>
      <c r="U524" s="9" t="s">
        <v>1375</v>
      </c>
    </row>
    <row r="525" customFormat="false" ht="15" hidden="false" customHeight="false" outlineLevel="0" collapsed="false">
      <c r="A525" s="9"/>
      <c r="B525" s="9"/>
      <c r="C525" s="9"/>
      <c r="D525" s="9"/>
      <c r="E525" s="9"/>
      <c r="F525" s="9" t="s">
        <v>1377</v>
      </c>
      <c r="G525" s="10" t="s">
        <v>1378</v>
      </c>
      <c r="H525" s="9"/>
      <c r="I525" s="9" t="n">
        <v>1</v>
      </c>
      <c r="J525" s="9" t="n">
        <v>0</v>
      </c>
      <c r="K525" s="11" t="n">
        <v>0</v>
      </c>
      <c r="L525" s="11" t="n">
        <v>0.578</v>
      </c>
      <c r="M525" s="9" t="n">
        <v>0</v>
      </c>
      <c r="N525" s="11" t="n">
        <v>0.667</v>
      </c>
      <c r="O525" s="11" t="n">
        <v>0.36</v>
      </c>
      <c r="P525" s="12"/>
      <c r="Q525" s="12"/>
      <c r="R525" s="12"/>
      <c r="S525" s="12"/>
      <c r="T525" s="9" t="s">
        <v>1376</v>
      </c>
      <c r="U525" s="9" t="s">
        <v>1378</v>
      </c>
    </row>
    <row r="526" customFormat="false" ht="15" hidden="false" customHeight="false" outlineLevel="0" collapsed="false">
      <c r="A526" s="7" t="s">
        <v>1312</v>
      </c>
      <c r="B526" s="7" t="s">
        <v>1379</v>
      </c>
      <c r="C526" s="8" t="s">
        <v>392</v>
      </c>
      <c r="D526" s="7" t="s">
        <v>1380</v>
      </c>
      <c r="E526" s="7" t="n">
        <v>1375</v>
      </c>
      <c r="F526" s="9" t="s">
        <v>1379</v>
      </c>
      <c r="G526" s="10" t="s">
        <v>1381</v>
      </c>
      <c r="H526" s="9" t="s">
        <v>1382</v>
      </c>
      <c r="I526" s="9" t="n">
        <v>41</v>
      </c>
      <c r="J526" s="9" t="n">
        <v>1132</v>
      </c>
      <c r="K526" s="11" t="n">
        <v>0.823</v>
      </c>
      <c r="L526" s="11" t="n">
        <v>1</v>
      </c>
      <c r="M526" s="9" t="n">
        <v>0.5</v>
      </c>
      <c r="N526" s="11" t="n">
        <v>1</v>
      </c>
      <c r="O526" s="11" t="n">
        <v>0.85</v>
      </c>
      <c r="P526" s="12"/>
      <c r="Q526" s="12"/>
      <c r="R526" s="12"/>
      <c r="S526" s="12"/>
      <c r="T526" s="9" t="s">
        <v>1383</v>
      </c>
      <c r="U526" s="9" t="s">
        <v>1381</v>
      </c>
    </row>
    <row r="527" customFormat="false" ht="15" hidden="false" customHeight="false" outlineLevel="0" collapsed="false">
      <c r="A527" s="9"/>
      <c r="B527" s="9"/>
      <c r="C527" s="9"/>
      <c r="D527" s="9"/>
      <c r="E527" s="9"/>
      <c r="F527" s="9" t="s">
        <v>1379</v>
      </c>
      <c r="G527" s="10" t="s">
        <v>1384</v>
      </c>
      <c r="H527" s="9" t="s">
        <v>1385</v>
      </c>
      <c r="I527" s="9" t="n">
        <v>10</v>
      </c>
      <c r="J527" s="9" t="n">
        <v>5</v>
      </c>
      <c r="K527" s="11" t="n">
        <v>0.004</v>
      </c>
      <c r="L527" s="11" t="n">
        <v>1</v>
      </c>
      <c r="M527" s="9" t="n">
        <v>0.5</v>
      </c>
      <c r="N527" s="11" t="n">
        <v>0.9</v>
      </c>
      <c r="O527" s="11" t="n">
        <v>0.735</v>
      </c>
      <c r="P527" s="12"/>
      <c r="Q527" s="12"/>
      <c r="R527" s="12"/>
      <c r="S527" s="12"/>
      <c r="T527" s="9" t="s">
        <v>1383</v>
      </c>
      <c r="U527" s="9" t="s">
        <v>1384</v>
      </c>
    </row>
    <row r="528" customFormat="false" ht="15" hidden="false" customHeight="false" outlineLevel="0" collapsed="false">
      <c r="A528" s="9"/>
      <c r="B528" s="9"/>
      <c r="C528" s="9"/>
      <c r="D528" s="9"/>
      <c r="E528" s="9"/>
      <c r="F528" s="9" t="s">
        <v>1379</v>
      </c>
      <c r="G528" s="10" t="s">
        <v>1386</v>
      </c>
      <c r="H528" s="9" t="s">
        <v>1387</v>
      </c>
      <c r="I528" s="9" t="n">
        <v>1</v>
      </c>
      <c r="J528" s="9" t="n">
        <v>1</v>
      </c>
      <c r="K528" s="11" t="n">
        <v>0.001</v>
      </c>
      <c r="L528" s="11" t="n">
        <v>1</v>
      </c>
      <c r="M528" s="9" t="n">
        <v>0</v>
      </c>
      <c r="N528" s="11" t="n">
        <v>1</v>
      </c>
      <c r="O528" s="11" t="n">
        <v>0.6</v>
      </c>
      <c r="P528" s="12"/>
      <c r="Q528" s="12"/>
      <c r="R528" s="12"/>
      <c r="S528" s="12"/>
      <c r="T528" s="9" t="s">
        <v>1383</v>
      </c>
      <c r="U528" s="9" t="s">
        <v>1386</v>
      </c>
    </row>
    <row r="529" customFormat="false" ht="15" hidden="false" customHeight="false" outlineLevel="0" collapsed="false">
      <c r="A529" s="9"/>
      <c r="B529" s="9"/>
      <c r="C529" s="9"/>
      <c r="D529" s="9"/>
      <c r="E529" s="9"/>
      <c r="F529" s="9" t="s">
        <v>1379</v>
      </c>
      <c r="G529" s="10" t="s">
        <v>1388</v>
      </c>
      <c r="H529" s="9" t="s">
        <v>1389</v>
      </c>
      <c r="I529" s="9" t="n">
        <v>57</v>
      </c>
      <c r="J529" s="9" t="n">
        <v>343</v>
      </c>
      <c r="K529" s="11" t="n">
        <v>0.249</v>
      </c>
      <c r="L529" s="11" t="n">
        <v>1</v>
      </c>
      <c r="M529" s="9" t="n">
        <v>0</v>
      </c>
      <c r="N529" s="11" t="n">
        <v>0.276</v>
      </c>
      <c r="O529" s="11" t="n">
        <v>0.591</v>
      </c>
      <c r="P529" s="12"/>
      <c r="Q529" s="12"/>
      <c r="R529" s="12"/>
      <c r="S529" s="12"/>
      <c r="T529" s="9" t="s">
        <v>1383</v>
      </c>
      <c r="U529" s="9" t="s">
        <v>1388</v>
      </c>
    </row>
    <row r="530" customFormat="false" ht="15" hidden="false" customHeight="false" outlineLevel="0" collapsed="false">
      <c r="A530" s="9"/>
      <c r="B530" s="9"/>
      <c r="C530" s="9"/>
      <c r="D530" s="9"/>
      <c r="E530" s="9"/>
      <c r="F530" s="9" t="s">
        <v>1379</v>
      </c>
      <c r="G530" s="10" t="s">
        <v>1390</v>
      </c>
      <c r="H530" s="9" t="s">
        <v>1391</v>
      </c>
      <c r="I530" s="9" t="n">
        <v>27</v>
      </c>
      <c r="J530" s="9" t="n">
        <v>66</v>
      </c>
      <c r="K530" s="11" t="n">
        <v>0.048</v>
      </c>
      <c r="L530" s="11" t="n">
        <v>1</v>
      </c>
      <c r="M530" s="9" t="n">
        <v>0</v>
      </c>
      <c r="N530" s="11" t="n">
        <v>0.6</v>
      </c>
      <c r="O530" s="11" t="n">
        <v>0.59</v>
      </c>
      <c r="P530" s="12"/>
      <c r="Q530" s="12"/>
      <c r="R530" s="12"/>
      <c r="S530" s="12"/>
      <c r="T530" s="9" t="s">
        <v>1383</v>
      </c>
      <c r="U530" s="9" t="s">
        <v>1390</v>
      </c>
    </row>
    <row r="531" customFormat="false" ht="15" hidden="false" customHeight="false" outlineLevel="0" collapsed="false">
      <c r="A531" s="7" t="s">
        <v>1312</v>
      </c>
      <c r="B531" s="7" t="s">
        <v>1392</v>
      </c>
      <c r="C531" s="8" t="s">
        <v>357</v>
      </c>
      <c r="D531" s="7" t="s">
        <v>1393</v>
      </c>
      <c r="E531" s="7" t="n">
        <v>194</v>
      </c>
      <c r="F531" s="9" t="s">
        <v>1392</v>
      </c>
      <c r="G531" s="10" t="s">
        <v>1394</v>
      </c>
      <c r="H531" s="9"/>
      <c r="I531" s="9" t="n">
        <v>21</v>
      </c>
      <c r="J531" s="9" t="n">
        <v>144</v>
      </c>
      <c r="K531" s="11" t="n">
        <v>0.742</v>
      </c>
      <c r="L531" s="11" t="n">
        <v>1</v>
      </c>
      <c r="M531" s="9" t="n">
        <v>0.5</v>
      </c>
      <c r="N531" s="11" t="n">
        <v>1</v>
      </c>
      <c r="O531" s="11" t="n">
        <v>0.85</v>
      </c>
      <c r="P531" s="12"/>
      <c r="Q531" s="12"/>
      <c r="R531" s="12"/>
      <c r="S531" s="12"/>
      <c r="T531" s="9" t="s">
        <v>1395</v>
      </c>
      <c r="U531" s="9" t="s">
        <v>1394</v>
      </c>
    </row>
    <row r="532" customFormat="false" ht="15" hidden="false" customHeight="false" outlineLevel="0" collapsed="false">
      <c r="A532" s="7" t="s">
        <v>1312</v>
      </c>
      <c r="B532" s="7" t="s">
        <v>1396</v>
      </c>
      <c r="C532" s="8" t="s">
        <v>370</v>
      </c>
      <c r="D532" s="7" t="s">
        <v>1397</v>
      </c>
      <c r="E532" s="7" t="n">
        <v>15</v>
      </c>
      <c r="F532" s="9" t="s">
        <v>1396</v>
      </c>
      <c r="G532" s="10" t="s">
        <v>1398</v>
      </c>
      <c r="H532" s="9" t="s">
        <v>1399</v>
      </c>
      <c r="I532" s="9" t="n">
        <v>9</v>
      </c>
      <c r="J532" s="9" t="n">
        <v>1259</v>
      </c>
      <c r="K532" s="11" t="n">
        <v>83.933</v>
      </c>
      <c r="L532" s="11" t="n">
        <v>1</v>
      </c>
      <c r="M532" s="9" t="n">
        <v>0.5</v>
      </c>
      <c r="N532" s="11" t="n">
        <v>0.909</v>
      </c>
      <c r="O532" s="11" t="n">
        <v>0.736</v>
      </c>
      <c r="P532" s="12"/>
      <c r="Q532" s="12"/>
      <c r="R532" s="12"/>
      <c r="S532" s="12"/>
      <c r="T532" s="9" t="s">
        <v>1400</v>
      </c>
      <c r="U532" s="9" t="s">
        <v>1398</v>
      </c>
    </row>
    <row r="533" customFormat="false" ht="15" hidden="false" customHeight="false" outlineLevel="0" collapsed="false">
      <c r="A533" s="9"/>
      <c r="B533" s="9"/>
      <c r="C533" s="9"/>
      <c r="D533" s="9"/>
      <c r="E533" s="9"/>
      <c r="F533" s="9" t="s">
        <v>1396</v>
      </c>
      <c r="G533" s="10" t="s">
        <v>1401</v>
      </c>
      <c r="H533" s="9" t="s">
        <v>1402</v>
      </c>
      <c r="I533" s="9" t="n">
        <v>192</v>
      </c>
      <c r="J533" s="9" t="n">
        <v>5045</v>
      </c>
      <c r="K533" s="11" t="n">
        <v>336.333</v>
      </c>
      <c r="L533" s="11" t="n">
        <v>1</v>
      </c>
      <c r="M533" s="9" t="n">
        <v>0.5</v>
      </c>
      <c r="N533" s="11" t="n">
        <v>0.163</v>
      </c>
      <c r="O533" s="11" t="n">
        <v>0.624</v>
      </c>
      <c r="P533" s="12"/>
      <c r="Q533" s="12"/>
      <c r="R533" s="12"/>
      <c r="S533" s="12"/>
      <c r="T533" s="9" t="s">
        <v>1400</v>
      </c>
      <c r="U533" s="9" t="s">
        <v>1401</v>
      </c>
    </row>
    <row r="534" customFormat="false" ht="15" hidden="false" customHeight="false" outlineLevel="0" collapsed="false">
      <c r="A534" s="9"/>
      <c r="B534" s="9"/>
      <c r="C534" s="9"/>
      <c r="D534" s="9"/>
      <c r="E534" s="9"/>
      <c r="F534" s="9" t="s">
        <v>1396</v>
      </c>
      <c r="G534" s="10" t="s">
        <v>1403</v>
      </c>
      <c r="H534" s="9" t="s">
        <v>331</v>
      </c>
      <c r="I534" s="9" t="n">
        <v>104</v>
      </c>
      <c r="J534" s="9" t="n">
        <v>3394</v>
      </c>
      <c r="K534" s="11" t="n">
        <v>226.267</v>
      </c>
      <c r="L534" s="11" t="n">
        <v>1</v>
      </c>
      <c r="M534" s="9" t="n">
        <v>0.5</v>
      </c>
      <c r="N534" s="11" t="n">
        <v>0</v>
      </c>
      <c r="O534" s="11" t="n">
        <v>0.6</v>
      </c>
      <c r="P534" s="12"/>
      <c r="Q534" s="12"/>
      <c r="R534" s="12"/>
      <c r="S534" s="12"/>
      <c r="T534" s="9" t="s">
        <v>1400</v>
      </c>
      <c r="U534" s="9" t="s">
        <v>1403</v>
      </c>
    </row>
    <row r="535" customFormat="false" ht="15" hidden="false" customHeight="false" outlineLevel="0" collapsed="false">
      <c r="A535" s="9"/>
      <c r="B535" s="9"/>
      <c r="C535" s="9"/>
      <c r="D535" s="9"/>
      <c r="E535" s="9"/>
      <c r="F535" s="9" t="s">
        <v>1396</v>
      </c>
      <c r="G535" s="10" t="s">
        <v>1404</v>
      </c>
      <c r="H535" s="9" t="s">
        <v>895</v>
      </c>
      <c r="I535" s="9" t="n">
        <v>136</v>
      </c>
      <c r="J535" s="9" t="n">
        <v>2673</v>
      </c>
      <c r="K535" s="11" t="n">
        <v>178.2</v>
      </c>
      <c r="L535" s="11" t="n">
        <v>1</v>
      </c>
      <c r="M535" s="9" t="n">
        <v>0.5</v>
      </c>
      <c r="N535" s="11" t="n">
        <v>0</v>
      </c>
      <c r="O535" s="11" t="n">
        <v>0.6</v>
      </c>
      <c r="P535" s="12"/>
      <c r="Q535" s="12"/>
      <c r="R535" s="12"/>
      <c r="S535" s="12"/>
      <c r="T535" s="9" t="s">
        <v>1400</v>
      </c>
      <c r="U535" s="9" t="s">
        <v>1404</v>
      </c>
    </row>
    <row r="536" customFormat="false" ht="15" hidden="false" customHeight="false" outlineLevel="0" collapsed="false">
      <c r="A536" s="9"/>
      <c r="B536" s="9"/>
      <c r="C536" s="9"/>
      <c r="D536" s="9"/>
      <c r="E536" s="9"/>
      <c r="F536" s="9" t="s">
        <v>1396</v>
      </c>
      <c r="G536" s="10" t="s">
        <v>1405</v>
      </c>
      <c r="H536" s="9" t="s">
        <v>1406</v>
      </c>
      <c r="I536" s="9" t="n">
        <v>151</v>
      </c>
      <c r="J536" s="9" t="n">
        <v>2278</v>
      </c>
      <c r="K536" s="11" t="n">
        <v>151.867</v>
      </c>
      <c r="L536" s="11" t="n">
        <v>1</v>
      </c>
      <c r="M536" s="9" t="n">
        <v>0.5</v>
      </c>
      <c r="N536" s="11" t="n">
        <v>0</v>
      </c>
      <c r="O536" s="11" t="n">
        <v>0.6</v>
      </c>
      <c r="P536" s="12"/>
      <c r="Q536" s="12"/>
      <c r="R536" s="12"/>
      <c r="S536" s="12"/>
      <c r="T536" s="9" t="s">
        <v>1400</v>
      </c>
      <c r="U536" s="9" t="s">
        <v>1405</v>
      </c>
    </row>
    <row r="537" customFormat="false" ht="15" hidden="false" customHeight="false" outlineLevel="0" collapsed="false">
      <c r="A537" s="7" t="s">
        <v>1312</v>
      </c>
      <c r="B537" s="7" t="s">
        <v>1407</v>
      </c>
      <c r="C537" s="8" t="s">
        <v>1408</v>
      </c>
      <c r="D537" s="7" t="s">
        <v>852</v>
      </c>
      <c r="E537" s="7" t="n">
        <v>67</v>
      </c>
      <c r="F537" s="9" t="s">
        <v>1407</v>
      </c>
      <c r="G537" s="10" t="s">
        <v>1409</v>
      </c>
      <c r="H537" s="9" t="s">
        <v>399</v>
      </c>
      <c r="I537" s="9" t="n">
        <v>4</v>
      </c>
      <c r="J537" s="9" t="n">
        <v>103</v>
      </c>
      <c r="K537" s="11" t="n">
        <v>1.585</v>
      </c>
      <c r="L537" s="11" t="n">
        <v>1</v>
      </c>
      <c r="M537" s="9" t="n">
        <v>0</v>
      </c>
      <c r="N537" s="11" t="n">
        <v>0.8</v>
      </c>
      <c r="O537" s="11" t="n">
        <v>0.62</v>
      </c>
      <c r="P537" s="12"/>
      <c r="Q537" s="12"/>
      <c r="R537" s="12"/>
      <c r="S537" s="12"/>
      <c r="T537" s="9" t="s">
        <v>1410</v>
      </c>
      <c r="U537" s="9" t="s">
        <v>1409</v>
      </c>
    </row>
    <row r="538" customFormat="false" ht="15" hidden="false" customHeight="false" outlineLevel="0" collapsed="false">
      <c r="A538" s="7" t="s">
        <v>1312</v>
      </c>
      <c r="B538" s="7" t="s">
        <v>1411</v>
      </c>
      <c r="C538" s="8" t="s">
        <v>1238</v>
      </c>
      <c r="D538" s="7" t="s">
        <v>1412</v>
      </c>
      <c r="E538" s="7" t="n">
        <v>1536</v>
      </c>
      <c r="F538" s="9" t="s">
        <v>1411</v>
      </c>
      <c r="G538" s="10" t="s">
        <v>1413</v>
      </c>
      <c r="H538" s="9" t="s">
        <v>1414</v>
      </c>
      <c r="I538" s="9" t="n">
        <v>27</v>
      </c>
      <c r="J538" s="9" t="n">
        <v>717</v>
      </c>
      <c r="K538" s="11" t="n">
        <v>0.51</v>
      </c>
      <c r="L538" s="11" t="n">
        <v>1</v>
      </c>
      <c r="M538" s="9" t="n">
        <v>0.5</v>
      </c>
      <c r="N538" s="11" t="n">
        <v>0.25</v>
      </c>
      <c r="O538" s="11" t="n">
        <v>0.737</v>
      </c>
      <c r="P538" s="12"/>
      <c r="Q538" s="12"/>
      <c r="R538" s="12"/>
      <c r="S538" s="12"/>
      <c r="T538" s="9" t="s">
        <v>1415</v>
      </c>
      <c r="U538" s="9" t="s">
        <v>1413</v>
      </c>
    </row>
    <row r="539" customFormat="false" ht="15" hidden="false" customHeight="false" outlineLevel="0" collapsed="false">
      <c r="A539" s="9"/>
      <c r="B539" s="9"/>
      <c r="C539" s="9"/>
      <c r="D539" s="9"/>
      <c r="E539" s="9"/>
      <c r="F539" s="9" t="s">
        <v>1411</v>
      </c>
      <c r="G539" s="10" t="s">
        <v>1416</v>
      </c>
      <c r="H539" s="9"/>
      <c r="I539" s="9" t="n">
        <v>5</v>
      </c>
      <c r="J539" s="9" t="n">
        <v>37</v>
      </c>
      <c r="K539" s="11" t="n">
        <v>0.026</v>
      </c>
      <c r="L539" s="11" t="n">
        <v>1</v>
      </c>
      <c r="M539" s="9" t="n">
        <v>0.5</v>
      </c>
      <c r="N539" s="11" t="n">
        <v>0.778</v>
      </c>
      <c r="O539" s="11" t="n">
        <v>0.717</v>
      </c>
      <c r="P539" s="12"/>
      <c r="Q539" s="12"/>
      <c r="R539" s="12"/>
      <c r="S539" s="12"/>
      <c r="T539" s="9" t="s">
        <v>1415</v>
      </c>
      <c r="U539" s="9" t="s">
        <v>1416</v>
      </c>
    </row>
    <row r="540" customFormat="false" ht="15" hidden="false" customHeight="false" outlineLevel="0" collapsed="false">
      <c r="A540" s="9"/>
      <c r="B540" s="9"/>
      <c r="C540" s="9"/>
      <c r="D540" s="9"/>
      <c r="E540" s="9"/>
      <c r="F540" s="9" t="s">
        <v>1411</v>
      </c>
      <c r="G540" s="10" t="s">
        <v>1417</v>
      </c>
      <c r="H540" s="9" t="s">
        <v>1418</v>
      </c>
      <c r="I540" s="9" t="n">
        <v>6</v>
      </c>
      <c r="J540" s="9" t="n">
        <v>291</v>
      </c>
      <c r="K540" s="11" t="n">
        <v>0.207</v>
      </c>
      <c r="L540" s="11" t="n">
        <v>1</v>
      </c>
      <c r="M540" s="9" t="n">
        <v>0.5</v>
      </c>
      <c r="N540" s="11" t="n">
        <v>0</v>
      </c>
      <c r="O540" s="11" t="n">
        <v>0.7</v>
      </c>
      <c r="P540" s="12"/>
      <c r="Q540" s="12"/>
      <c r="R540" s="12"/>
      <c r="S540" s="12"/>
      <c r="T540" s="9" t="s">
        <v>1415</v>
      </c>
      <c r="U540" s="9" t="s">
        <v>1417</v>
      </c>
    </row>
    <row r="541" customFormat="false" ht="15" hidden="false" customHeight="false" outlineLevel="0" collapsed="false">
      <c r="A541" s="9"/>
      <c r="B541" s="9"/>
      <c r="C541" s="9"/>
      <c r="D541" s="9"/>
      <c r="E541" s="9"/>
      <c r="F541" s="9" t="s">
        <v>1411</v>
      </c>
      <c r="G541" s="10" t="s">
        <v>1419</v>
      </c>
      <c r="H541" s="9" t="s">
        <v>1420</v>
      </c>
      <c r="I541" s="9" t="n">
        <v>62</v>
      </c>
      <c r="J541" s="9" t="n">
        <v>2083</v>
      </c>
      <c r="K541" s="11" t="n">
        <v>1.48</v>
      </c>
      <c r="L541" s="11" t="n">
        <v>1</v>
      </c>
      <c r="M541" s="9" t="n">
        <v>0</v>
      </c>
      <c r="N541" s="11" t="n">
        <v>0.934</v>
      </c>
      <c r="O541" s="11" t="n">
        <v>0.69</v>
      </c>
      <c r="P541" s="12"/>
      <c r="Q541" s="12"/>
      <c r="R541" s="12"/>
      <c r="S541" s="12"/>
      <c r="T541" s="9" t="s">
        <v>1415</v>
      </c>
      <c r="U541" s="9" t="s">
        <v>1419</v>
      </c>
    </row>
    <row r="542" customFormat="false" ht="15" hidden="false" customHeight="false" outlineLevel="0" collapsed="false">
      <c r="A542" s="9"/>
      <c r="B542" s="9"/>
      <c r="C542" s="9"/>
      <c r="D542" s="9"/>
      <c r="E542" s="9"/>
      <c r="F542" s="9" t="s">
        <v>1421</v>
      </c>
      <c r="G542" s="10" t="s">
        <v>1422</v>
      </c>
      <c r="H542" s="9" t="s">
        <v>1423</v>
      </c>
      <c r="I542" s="9" t="n">
        <v>1</v>
      </c>
      <c r="J542" s="9" t="n">
        <v>0</v>
      </c>
      <c r="K542" s="11" t="n">
        <v>0</v>
      </c>
      <c r="L542" s="11" t="n">
        <v>1</v>
      </c>
      <c r="M542" s="9" t="n">
        <v>0.5</v>
      </c>
      <c r="N542" s="11" t="n">
        <v>0.5</v>
      </c>
      <c r="O542" s="11" t="n">
        <v>0.675</v>
      </c>
      <c r="P542" s="12"/>
      <c r="Q542" s="12"/>
      <c r="R542" s="12"/>
      <c r="S542" s="12"/>
      <c r="T542" s="9" t="s">
        <v>1415</v>
      </c>
      <c r="U542" s="9" t="s">
        <v>1422</v>
      </c>
    </row>
    <row r="543" customFormat="false" ht="15" hidden="false" customHeight="false" outlineLevel="0" collapsed="false">
      <c r="A543" s="7" t="s">
        <v>1312</v>
      </c>
      <c r="B543" s="7" t="s">
        <v>1424</v>
      </c>
      <c r="C543" s="8" t="s">
        <v>1238</v>
      </c>
      <c r="D543" s="7" t="s">
        <v>1425</v>
      </c>
      <c r="E543" s="7" t="n">
        <v>10</v>
      </c>
      <c r="F543" s="9" t="s">
        <v>1424</v>
      </c>
      <c r="G543" s="10" t="s">
        <v>1426</v>
      </c>
      <c r="H543" s="9"/>
      <c r="I543" s="9" t="n">
        <v>3</v>
      </c>
      <c r="J543" s="9" t="n">
        <v>6</v>
      </c>
      <c r="K543" s="11" t="n">
        <v>0.6</v>
      </c>
      <c r="L543" s="11" t="n">
        <v>1</v>
      </c>
      <c r="M543" s="9" t="n">
        <v>0</v>
      </c>
      <c r="N543" s="11" t="n">
        <v>1</v>
      </c>
      <c r="O543" s="11" t="n">
        <v>0.7</v>
      </c>
      <c r="P543" s="12"/>
      <c r="Q543" s="12"/>
      <c r="R543" s="12"/>
      <c r="S543" s="12"/>
      <c r="T543" s="9" t="s">
        <v>1427</v>
      </c>
      <c r="U543" s="9" t="s">
        <v>1426</v>
      </c>
    </row>
    <row r="544" customFormat="false" ht="15" hidden="false" customHeight="false" outlineLevel="0" collapsed="false">
      <c r="A544" s="9"/>
      <c r="B544" s="9"/>
      <c r="C544" s="9"/>
      <c r="D544" s="9"/>
      <c r="E544" s="9"/>
      <c r="F544" s="9" t="s">
        <v>1424</v>
      </c>
      <c r="G544" s="10" t="s">
        <v>1428</v>
      </c>
      <c r="H544" s="9" t="s">
        <v>428</v>
      </c>
      <c r="I544" s="9" t="n">
        <v>1</v>
      </c>
      <c r="J544" s="9" t="n">
        <v>2</v>
      </c>
      <c r="K544" s="11" t="n">
        <v>0.2</v>
      </c>
      <c r="L544" s="11" t="n">
        <v>1</v>
      </c>
      <c r="M544" s="9" t="n">
        <v>0</v>
      </c>
      <c r="N544" s="11" t="n">
        <v>1</v>
      </c>
      <c r="O544" s="11" t="n">
        <v>0.7</v>
      </c>
      <c r="P544" s="12"/>
      <c r="Q544" s="12"/>
      <c r="R544" s="12"/>
      <c r="S544" s="12"/>
      <c r="T544" s="9" t="s">
        <v>1427</v>
      </c>
      <c r="U544" s="9" t="s">
        <v>1428</v>
      </c>
    </row>
    <row r="545" customFormat="false" ht="15" hidden="false" customHeight="false" outlineLevel="0" collapsed="false">
      <c r="A545" s="7" t="s">
        <v>1312</v>
      </c>
      <c r="B545" s="7" t="s">
        <v>1429</v>
      </c>
      <c r="C545" s="8" t="s">
        <v>921</v>
      </c>
      <c r="D545" s="7" t="s">
        <v>1430</v>
      </c>
      <c r="E545" s="7" t="n">
        <v>119</v>
      </c>
      <c r="F545" s="9" t="s">
        <v>1431</v>
      </c>
      <c r="G545" s="10" t="s">
        <v>1432</v>
      </c>
      <c r="H545" s="9" t="s">
        <v>1433</v>
      </c>
      <c r="I545" s="9" t="n">
        <v>63</v>
      </c>
      <c r="J545" s="9" t="n">
        <v>1684</v>
      </c>
      <c r="K545" s="11" t="n">
        <v>14.151</v>
      </c>
      <c r="L545" s="11" t="n">
        <v>1</v>
      </c>
      <c r="M545" s="9" t="n">
        <v>0.5</v>
      </c>
      <c r="N545" s="11" t="n">
        <v>0.897</v>
      </c>
      <c r="O545" s="11" t="n">
        <v>0.735</v>
      </c>
      <c r="P545" s="12"/>
      <c r="Q545" s="12"/>
      <c r="R545" s="12"/>
      <c r="S545" s="12"/>
      <c r="T545" s="9" t="s">
        <v>1434</v>
      </c>
      <c r="U545" s="9" t="s">
        <v>1432</v>
      </c>
    </row>
    <row r="546" customFormat="false" ht="15" hidden="false" customHeight="false" outlineLevel="0" collapsed="false">
      <c r="A546" s="9"/>
      <c r="B546" s="9"/>
      <c r="C546" s="9"/>
      <c r="D546" s="9"/>
      <c r="E546" s="9"/>
      <c r="F546" s="9" t="s">
        <v>1429</v>
      </c>
      <c r="G546" s="10" t="s">
        <v>1435</v>
      </c>
      <c r="H546" s="9"/>
      <c r="I546" s="9" t="n">
        <v>13</v>
      </c>
      <c r="J546" s="9" t="n">
        <v>42</v>
      </c>
      <c r="K546" s="11" t="n">
        <v>0.353</v>
      </c>
      <c r="L546" s="11" t="n">
        <v>1</v>
      </c>
      <c r="M546" s="9" t="n">
        <v>0</v>
      </c>
      <c r="N546" s="11" t="n">
        <v>0.857</v>
      </c>
      <c r="O546" s="11" t="n">
        <v>0.679</v>
      </c>
      <c r="P546" s="12"/>
      <c r="Q546" s="12"/>
      <c r="R546" s="12"/>
      <c r="S546" s="12"/>
      <c r="T546" s="9" t="s">
        <v>1434</v>
      </c>
      <c r="U546" s="9" t="s">
        <v>1435</v>
      </c>
    </row>
    <row r="547" customFormat="false" ht="15" hidden="false" customHeight="false" outlineLevel="0" collapsed="false">
      <c r="A547" s="9"/>
      <c r="B547" s="9"/>
      <c r="C547" s="9"/>
      <c r="D547" s="9"/>
      <c r="E547" s="9"/>
      <c r="F547" s="9" t="s">
        <v>1429</v>
      </c>
      <c r="G547" s="10" t="s">
        <v>1436</v>
      </c>
      <c r="H547" s="9"/>
      <c r="I547" s="9" t="n">
        <v>2</v>
      </c>
      <c r="J547" s="9" t="n">
        <v>0</v>
      </c>
      <c r="K547" s="11" t="n">
        <v>0</v>
      </c>
      <c r="L547" s="11" t="n">
        <v>1</v>
      </c>
      <c r="M547" s="9" t="n">
        <v>0</v>
      </c>
      <c r="N547" s="11" t="n">
        <v>1</v>
      </c>
      <c r="O547" s="11" t="n">
        <v>0.6</v>
      </c>
      <c r="P547" s="12"/>
      <c r="Q547" s="12"/>
      <c r="R547" s="12"/>
      <c r="S547" s="12"/>
      <c r="T547" s="9" t="s">
        <v>1434</v>
      </c>
      <c r="U547" s="9" t="s">
        <v>1436</v>
      </c>
    </row>
    <row r="548" customFormat="false" ht="15" hidden="false" customHeight="false" outlineLevel="0" collapsed="false">
      <c r="A548" s="9"/>
      <c r="B548" s="9"/>
      <c r="C548" s="9"/>
      <c r="D548" s="9"/>
      <c r="E548" s="9"/>
      <c r="F548" s="9" t="s">
        <v>1429</v>
      </c>
      <c r="G548" s="10" t="s">
        <v>1437</v>
      </c>
      <c r="H548" s="9"/>
      <c r="I548" s="9" t="n">
        <v>1</v>
      </c>
      <c r="J548" s="9" t="n">
        <v>0</v>
      </c>
      <c r="K548" s="11" t="n">
        <v>0</v>
      </c>
      <c r="L548" s="11" t="n">
        <v>1</v>
      </c>
      <c r="M548" s="9" t="n">
        <v>0</v>
      </c>
      <c r="N548" s="11" t="n">
        <v>1</v>
      </c>
      <c r="O548" s="11" t="n">
        <v>0.6</v>
      </c>
      <c r="P548" s="12"/>
      <c r="Q548" s="12"/>
      <c r="R548" s="12"/>
      <c r="S548" s="12"/>
      <c r="T548" s="9" t="s">
        <v>1434</v>
      </c>
      <c r="U548" s="9" t="s">
        <v>1437</v>
      </c>
    </row>
    <row r="549" customFormat="false" ht="15" hidden="false" customHeight="false" outlineLevel="0" collapsed="false">
      <c r="A549" s="9"/>
      <c r="B549" s="9"/>
      <c r="C549" s="9"/>
      <c r="D549" s="9"/>
      <c r="E549" s="9"/>
      <c r="F549" s="9" t="s">
        <v>1438</v>
      </c>
      <c r="G549" s="10" t="s">
        <v>1439</v>
      </c>
      <c r="H549" s="9" t="s">
        <v>319</v>
      </c>
      <c r="I549" s="9" t="n">
        <v>8</v>
      </c>
      <c r="J549" s="9" t="n">
        <v>44</v>
      </c>
      <c r="K549" s="11" t="n">
        <v>0.37</v>
      </c>
      <c r="L549" s="11" t="n">
        <v>1</v>
      </c>
      <c r="M549" s="9" t="n">
        <v>0</v>
      </c>
      <c r="N549" s="11" t="n">
        <v>0.2</v>
      </c>
      <c r="O549" s="11" t="n">
        <v>0.58</v>
      </c>
      <c r="P549" s="12"/>
      <c r="Q549" s="12"/>
      <c r="R549" s="12"/>
      <c r="S549" s="12"/>
      <c r="T549" s="9" t="s">
        <v>1434</v>
      </c>
      <c r="U549" s="9" t="s">
        <v>1439</v>
      </c>
    </row>
    <row r="550" customFormat="false" ht="15" hidden="false" customHeight="false" outlineLevel="0" collapsed="false">
      <c r="A550" s="7" t="s">
        <v>1312</v>
      </c>
      <c r="B550" s="7" t="s">
        <v>1440</v>
      </c>
      <c r="C550" s="8" t="s">
        <v>1017</v>
      </c>
      <c r="D550" s="7" t="s">
        <v>1441</v>
      </c>
      <c r="E550" s="7" t="n">
        <v>5953</v>
      </c>
      <c r="F550" s="9" t="s">
        <v>1440</v>
      </c>
      <c r="G550" s="10" t="s">
        <v>1442</v>
      </c>
      <c r="H550" s="9"/>
      <c r="I550" s="9" t="n">
        <v>1</v>
      </c>
      <c r="J550" s="9" t="n">
        <v>0</v>
      </c>
      <c r="K550" s="11" t="n">
        <v>0</v>
      </c>
      <c r="L550" s="11" t="n">
        <v>1</v>
      </c>
      <c r="M550" s="9" t="n">
        <v>0</v>
      </c>
      <c r="N550" s="11" t="n">
        <v>1</v>
      </c>
      <c r="O550" s="11" t="n">
        <v>0.6</v>
      </c>
      <c r="P550" s="12"/>
      <c r="Q550" s="12"/>
      <c r="R550" s="12"/>
      <c r="S550" s="12"/>
      <c r="T550" s="9" t="s">
        <v>1443</v>
      </c>
      <c r="U550" s="9" t="s">
        <v>1442</v>
      </c>
    </row>
    <row r="551" customFormat="false" ht="15" hidden="false" customHeight="false" outlineLevel="0" collapsed="false">
      <c r="A551" s="9"/>
      <c r="B551" s="9"/>
      <c r="C551" s="9"/>
      <c r="D551" s="9"/>
      <c r="E551" s="9"/>
      <c r="F551" s="9" t="s">
        <v>1440</v>
      </c>
      <c r="G551" s="10" t="s">
        <v>1444</v>
      </c>
      <c r="H551" s="9" t="s">
        <v>1445</v>
      </c>
      <c r="I551" s="9" t="n">
        <v>1</v>
      </c>
      <c r="J551" s="9" t="n">
        <v>13</v>
      </c>
      <c r="K551" s="11" t="n">
        <v>0.002</v>
      </c>
      <c r="L551" s="11" t="n">
        <v>1</v>
      </c>
      <c r="M551" s="9" t="n">
        <v>0</v>
      </c>
      <c r="N551" s="11" t="n">
        <v>0.333</v>
      </c>
      <c r="O551" s="11" t="n">
        <v>0.5</v>
      </c>
      <c r="P551" s="12"/>
      <c r="Q551" s="12"/>
      <c r="R551" s="12"/>
      <c r="S551" s="12"/>
      <c r="T551" s="9" t="s">
        <v>1443</v>
      </c>
      <c r="U551" s="9" t="s">
        <v>1444</v>
      </c>
    </row>
    <row r="552" customFormat="false" ht="15" hidden="false" customHeight="false" outlineLevel="0" collapsed="false">
      <c r="A552" s="9"/>
      <c r="B552" s="9"/>
      <c r="C552" s="9"/>
      <c r="D552" s="9"/>
      <c r="E552" s="9"/>
      <c r="F552" s="9" t="s">
        <v>1440</v>
      </c>
      <c r="G552" s="10" t="s">
        <v>1446</v>
      </c>
      <c r="H552" s="9"/>
      <c r="I552" s="9" t="n">
        <v>1</v>
      </c>
      <c r="J552" s="9" t="n">
        <v>2</v>
      </c>
      <c r="K552" s="11" t="n">
        <v>0</v>
      </c>
      <c r="L552" s="11" t="n">
        <v>1</v>
      </c>
      <c r="M552" s="9" t="n">
        <v>0</v>
      </c>
      <c r="N552" s="11" t="n">
        <v>0</v>
      </c>
      <c r="O552" s="11" t="n">
        <v>0.45</v>
      </c>
      <c r="P552" s="12"/>
      <c r="Q552" s="12"/>
      <c r="R552" s="12"/>
      <c r="S552" s="12"/>
      <c r="T552" s="9" t="s">
        <v>1443</v>
      </c>
      <c r="U552" s="9" t="s">
        <v>1446</v>
      </c>
    </row>
    <row r="553" customFormat="false" ht="15" hidden="false" customHeight="false" outlineLevel="0" collapsed="false">
      <c r="A553" s="7" t="s">
        <v>1312</v>
      </c>
      <c r="B553" s="7" t="s">
        <v>1447</v>
      </c>
      <c r="C553" s="8" t="s">
        <v>1448</v>
      </c>
      <c r="D553" s="7" t="s">
        <v>1449</v>
      </c>
      <c r="E553" s="7" t="n">
        <v>73</v>
      </c>
      <c r="F553" s="9" t="s">
        <v>1450</v>
      </c>
      <c r="G553" s="10" t="s">
        <v>1451</v>
      </c>
      <c r="H553" s="9"/>
      <c r="I553" s="9" t="n">
        <v>1</v>
      </c>
      <c r="J553" s="9" t="n">
        <v>2</v>
      </c>
      <c r="K553" s="11" t="n">
        <v>0.027</v>
      </c>
      <c r="L553" s="11" t="n">
        <v>1</v>
      </c>
      <c r="M553" s="9" t="n">
        <v>0</v>
      </c>
      <c r="N553" s="11" t="n">
        <v>1</v>
      </c>
      <c r="O553" s="11" t="n">
        <v>0.6</v>
      </c>
      <c r="P553" s="12"/>
      <c r="Q553" s="12"/>
      <c r="R553" s="12"/>
      <c r="S553" s="12"/>
      <c r="T553" s="9" t="s">
        <v>1452</v>
      </c>
      <c r="U553" s="9" t="s">
        <v>1451</v>
      </c>
    </row>
    <row r="554" customFormat="false" ht="15" hidden="false" customHeight="false" outlineLevel="0" collapsed="false">
      <c r="A554" s="7" t="s">
        <v>1312</v>
      </c>
      <c r="B554" s="7" t="s">
        <v>1453</v>
      </c>
      <c r="C554" s="8" t="s">
        <v>1454</v>
      </c>
      <c r="D554" s="7" t="s">
        <v>1455</v>
      </c>
      <c r="E554" s="7" t="n">
        <v>160</v>
      </c>
      <c r="F554" s="9" t="s">
        <v>1453</v>
      </c>
      <c r="G554" s="10" t="s">
        <v>1456</v>
      </c>
      <c r="H554" s="9" t="s">
        <v>1457</v>
      </c>
      <c r="I554" s="9" t="n">
        <v>17</v>
      </c>
      <c r="J554" s="9" t="n">
        <v>100</v>
      </c>
      <c r="K554" s="11" t="n">
        <v>0.625</v>
      </c>
      <c r="L554" s="11" t="n">
        <v>1</v>
      </c>
      <c r="M554" s="9" t="n">
        <v>0</v>
      </c>
      <c r="N554" s="11" t="n">
        <v>1</v>
      </c>
      <c r="O554" s="11" t="n">
        <v>0.7</v>
      </c>
      <c r="P554" s="12"/>
      <c r="Q554" s="12"/>
      <c r="R554" s="12"/>
      <c r="S554" s="12"/>
      <c r="T554" s="9" t="s">
        <v>1458</v>
      </c>
      <c r="U554" s="9" t="s">
        <v>1456</v>
      </c>
    </row>
    <row r="555" customFormat="false" ht="15" hidden="false" customHeight="false" outlineLevel="0" collapsed="false">
      <c r="A555" s="9"/>
      <c r="B555" s="9"/>
      <c r="C555" s="9"/>
      <c r="D555" s="9"/>
      <c r="E555" s="9"/>
      <c r="F555" s="9" t="s">
        <v>1459</v>
      </c>
      <c r="G555" s="10" t="s">
        <v>1460</v>
      </c>
      <c r="H555" s="9" t="s">
        <v>1461</v>
      </c>
      <c r="I555" s="9" t="n">
        <v>1</v>
      </c>
      <c r="J555" s="9" t="n">
        <v>0</v>
      </c>
      <c r="K555" s="11" t="n">
        <v>0</v>
      </c>
      <c r="L555" s="11" t="n">
        <v>0.611</v>
      </c>
      <c r="M555" s="9" t="n">
        <v>1</v>
      </c>
      <c r="N555" s="11" t="n">
        <v>0.667</v>
      </c>
      <c r="O555" s="11" t="n">
        <v>0.675</v>
      </c>
      <c r="P555" s="12"/>
      <c r="Q555" s="12"/>
      <c r="R555" s="12"/>
      <c r="S555" s="12"/>
      <c r="T555" s="9" t="s">
        <v>1458</v>
      </c>
      <c r="U555" s="9" t="s">
        <v>1460</v>
      </c>
    </row>
    <row r="556" customFormat="false" ht="15" hidden="false" customHeight="false" outlineLevel="0" collapsed="false">
      <c r="A556" s="7" t="s">
        <v>1312</v>
      </c>
      <c r="B556" s="7" t="s">
        <v>1462</v>
      </c>
      <c r="C556" s="8" t="s">
        <v>1463</v>
      </c>
      <c r="D556" s="7" t="s">
        <v>1464</v>
      </c>
      <c r="E556" s="7" t="n">
        <v>3487</v>
      </c>
      <c r="F556" s="9" t="s">
        <v>1462</v>
      </c>
      <c r="G556" s="10" t="s">
        <v>1465</v>
      </c>
      <c r="H556" s="9"/>
      <c r="I556" s="9" t="n">
        <v>38</v>
      </c>
      <c r="J556" s="9" t="n">
        <v>459</v>
      </c>
      <c r="K556" s="11" t="n">
        <v>0.136</v>
      </c>
      <c r="L556" s="11" t="n">
        <v>1</v>
      </c>
      <c r="M556" s="9" t="n">
        <v>0</v>
      </c>
      <c r="N556" s="11" t="n">
        <v>1</v>
      </c>
      <c r="O556" s="11" t="n">
        <v>0.7</v>
      </c>
      <c r="P556" s="12"/>
      <c r="Q556" s="12"/>
      <c r="R556" s="12"/>
      <c r="S556" s="12"/>
      <c r="T556" s="9" t="s">
        <v>1466</v>
      </c>
      <c r="U556" s="9" t="s">
        <v>1465</v>
      </c>
    </row>
    <row r="557" customFormat="false" ht="15" hidden="false" customHeight="false" outlineLevel="0" collapsed="false">
      <c r="A557" s="7" t="s">
        <v>1312</v>
      </c>
      <c r="B557" s="7" t="s">
        <v>1467</v>
      </c>
      <c r="C557" s="8" t="s">
        <v>962</v>
      </c>
      <c r="D557" s="7" t="s">
        <v>1468</v>
      </c>
      <c r="E557" s="7" t="n">
        <v>1</v>
      </c>
      <c r="F557" s="9" t="s">
        <v>1467</v>
      </c>
      <c r="G557" s="10" t="s">
        <v>1469</v>
      </c>
      <c r="H557" s="9"/>
      <c r="I557" s="9" t="n">
        <v>2</v>
      </c>
      <c r="J557" s="9" t="n">
        <v>0</v>
      </c>
      <c r="K557" s="11" t="n">
        <v>0</v>
      </c>
      <c r="L557" s="11" t="n">
        <v>1</v>
      </c>
      <c r="M557" s="9" t="n">
        <v>0</v>
      </c>
      <c r="N557" s="11" t="n">
        <v>1</v>
      </c>
      <c r="O557" s="11" t="n">
        <v>0.6</v>
      </c>
      <c r="P557" s="12"/>
      <c r="Q557" s="12"/>
      <c r="R557" s="12"/>
      <c r="S557" s="12"/>
      <c r="T557" s="9" t="s">
        <v>1470</v>
      </c>
      <c r="U557" s="9" t="s">
        <v>1469</v>
      </c>
    </row>
    <row r="558" customFormat="false" ht="15" hidden="false" customHeight="false" outlineLevel="0" collapsed="false">
      <c r="A558" s="7" t="s">
        <v>1312</v>
      </c>
      <c r="B558" s="7" t="s">
        <v>1471</v>
      </c>
      <c r="C558" s="8" t="s">
        <v>284</v>
      </c>
      <c r="D558" s="7" t="s">
        <v>1472</v>
      </c>
      <c r="E558" s="7" t="n">
        <v>799</v>
      </c>
      <c r="F558" s="9" t="s">
        <v>1473</v>
      </c>
      <c r="G558" s="10" t="s">
        <v>1474</v>
      </c>
      <c r="H558" s="9" t="s">
        <v>1475</v>
      </c>
      <c r="I558" s="9" t="n">
        <v>8</v>
      </c>
      <c r="J558" s="9" t="n">
        <v>50</v>
      </c>
      <c r="K558" s="11" t="n">
        <v>0.069</v>
      </c>
      <c r="L558" s="11" t="n">
        <v>1</v>
      </c>
      <c r="M558" s="9" t="n">
        <v>0</v>
      </c>
      <c r="N558" s="11" t="n">
        <v>0.429</v>
      </c>
      <c r="O558" s="11" t="n">
        <v>0.564</v>
      </c>
      <c r="P558" s="12"/>
      <c r="Q558" s="12"/>
      <c r="R558" s="12"/>
      <c r="S558" s="12"/>
      <c r="T558" s="9" t="s">
        <v>1476</v>
      </c>
      <c r="U558" s="9" t="s">
        <v>1474</v>
      </c>
    </row>
    <row r="559" customFormat="false" ht="15" hidden="false" customHeight="false" outlineLevel="0" collapsed="false">
      <c r="A559" s="7" t="s">
        <v>1312</v>
      </c>
      <c r="B559" s="7" t="s">
        <v>1477</v>
      </c>
      <c r="C559" s="8" t="s">
        <v>1478</v>
      </c>
      <c r="D559" s="7" t="s">
        <v>1479</v>
      </c>
      <c r="E559" s="7" t="n">
        <v>118</v>
      </c>
      <c r="F559" s="9" t="s">
        <v>1477</v>
      </c>
      <c r="G559" s="10" t="s">
        <v>1480</v>
      </c>
      <c r="H559" s="9" t="s">
        <v>1481</v>
      </c>
      <c r="I559" s="9" t="n">
        <v>1</v>
      </c>
      <c r="J559" s="9" t="n">
        <v>0</v>
      </c>
      <c r="K559" s="11" t="n">
        <v>0</v>
      </c>
      <c r="L559" s="11" t="n">
        <v>1</v>
      </c>
      <c r="M559" s="9" t="n">
        <v>0</v>
      </c>
      <c r="N559" s="11" t="n">
        <v>1</v>
      </c>
      <c r="O559" s="11" t="n">
        <v>0.6</v>
      </c>
      <c r="P559" s="12"/>
      <c r="Q559" s="12"/>
      <c r="R559" s="12"/>
      <c r="S559" s="12"/>
      <c r="T559" s="9" t="s">
        <v>1482</v>
      </c>
      <c r="U559" s="9" t="s">
        <v>1480</v>
      </c>
    </row>
    <row r="560" customFormat="false" ht="15" hidden="false" customHeight="false" outlineLevel="0" collapsed="false">
      <c r="A560" s="7" t="s">
        <v>1312</v>
      </c>
      <c r="B560" s="7" t="s">
        <v>1483</v>
      </c>
      <c r="C560" s="8" t="s">
        <v>514</v>
      </c>
      <c r="D560" s="7" t="s">
        <v>1484</v>
      </c>
      <c r="E560" s="7" t="n">
        <v>7626</v>
      </c>
      <c r="F560" s="9" t="s">
        <v>1485</v>
      </c>
      <c r="G560" s="10" t="s">
        <v>1486</v>
      </c>
      <c r="H560" s="9"/>
      <c r="I560" s="9" t="n">
        <v>1</v>
      </c>
      <c r="J560" s="9" t="n">
        <v>0</v>
      </c>
      <c r="K560" s="11" t="n">
        <v>0</v>
      </c>
      <c r="L560" s="11" t="n">
        <v>1</v>
      </c>
      <c r="M560" s="9" t="n">
        <v>0</v>
      </c>
      <c r="N560" s="11" t="n">
        <v>1</v>
      </c>
      <c r="O560" s="11" t="n">
        <v>0.6</v>
      </c>
      <c r="P560" s="12"/>
      <c r="Q560" s="12"/>
      <c r="R560" s="12"/>
      <c r="S560" s="12"/>
      <c r="T560" s="9" t="s">
        <v>1487</v>
      </c>
      <c r="U560" s="9" t="s">
        <v>1486</v>
      </c>
    </row>
    <row r="561" customFormat="false" ht="15" hidden="false" customHeight="false" outlineLevel="0" collapsed="false">
      <c r="A561" s="9"/>
      <c r="B561" s="9"/>
      <c r="C561" s="9"/>
      <c r="D561" s="9"/>
      <c r="E561" s="9"/>
      <c r="F561" s="9" t="s">
        <v>1483</v>
      </c>
      <c r="G561" s="10" t="s">
        <v>1488</v>
      </c>
      <c r="H561" s="9" t="s">
        <v>1489</v>
      </c>
      <c r="I561" s="9" t="n">
        <v>1</v>
      </c>
      <c r="J561" s="9" t="n">
        <v>0</v>
      </c>
      <c r="K561" s="11" t="n">
        <v>0</v>
      </c>
      <c r="L561" s="11" t="n">
        <v>1</v>
      </c>
      <c r="M561" s="9" t="n">
        <v>0</v>
      </c>
      <c r="N561" s="11" t="n">
        <v>0</v>
      </c>
      <c r="O561" s="11" t="n">
        <v>0.45</v>
      </c>
      <c r="P561" s="12"/>
      <c r="Q561" s="12"/>
      <c r="R561" s="12"/>
      <c r="S561" s="12"/>
      <c r="T561" s="9" t="s">
        <v>1487</v>
      </c>
      <c r="U561" s="9" t="s">
        <v>1488</v>
      </c>
    </row>
    <row r="562" customFormat="false" ht="15" hidden="false" customHeight="false" outlineLevel="0" collapsed="false">
      <c r="A562" s="7" t="s">
        <v>1312</v>
      </c>
      <c r="B562" s="7" t="s">
        <v>1490</v>
      </c>
      <c r="C562" s="8" t="s">
        <v>201</v>
      </c>
      <c r="D562" s="7" t="s">
        <v>1491</v>
      </c>
      <c r="E562" s="7" t="n">
        <v>1105</v>
      </c>
      <c r="F562" s="9" t="s">
        <v>1492</v>
      </c>
      <c r="G562" s="10" t="s">
        <v>1493</v>
      </c>
      <c r="H562" s="9" t="s">
        <v>1494</v>
      </c>
      <c r="I562" s="9" t="n">
        <v>30</v>
      </c>
      <c r="J562" s="9" t="n">
        <v>832</v>
      </c>
      <c r="K562" s="11" t="n">
        <v>0.901</v>
      </c>
      <c r="L562" s="11" t="n">
        <v>1</v>
      </c>
      <c r="M562" s="9" t="n">
        <v>0.5</v>
      </c>
      <c r="N562" s="11" t="n">
        <v>1</v>
      </c>
      <c r="O562" s="11" t="n">
        <v>0.85</v>
      </c>
      <c r="P562" s="12"/>
      <c r="Q562" s="12"/>
      <c r="R562" s="12"/>
      <c r="S562" s="12"/>
      <c r="T562" s="9" t="s">
        <v>1495</v>
      </c>
      <c r="U562" s="9" t="s">
        <v>1493</v>
      </c>
    </row>
    <row r="563" customFormat="false" ht="15" hidden="false" customHeight="false" outlineLevel="0" collapsed="false">
      <c r="A563" s="9"/>
      <c r="B563" s="9"/>
      <c r="C563" s="9"/>
      <c r="D563" s="9"/>
      <c r="E563" s="9"/>
      <c r="F563" s="9" t="s">
        <v>1496</v>
      </c>
      <c r="G563" s="10" t="s">
        <v>1497</v>
      </c>
      <c r="H563" s="9" t="s">
        <v>1498</v>
      </c>
      <c r="I563" s="9" t="n">
        <v>1</v>
      </c>
      <c r="J563" s="9" t="n">
        <v>2</v>
      </c>
      <c r="K563" s="11" t="n">
        <v>0.002</v>
      </c>
      <c r="L563" s="11" t="n">
        <v>1</v>
      </c>
      <c r="M563" s="9" t="n">
        <v>0</v>
      </c>
      <c r="N563" s="11" t="n">
        <v>1</v>
      </c>
      <c r="O563" s="11" t="n">
        <v>0.6</v>
      </c>
      <c r="P563" s="12"/>
      <c r="Q563" s="12"/>
      <c r="R563" s="12"/>
      <c r="S563" s="12"/>
      <c r="T563" s="9" t="s">
        <v>1495</v>
      </c>
      <c r="U563" s="9" t="s">
        <v>1497</v>
      </c>
    </row>
    <row r="564" customFormat="false" ht="15" hidden="false" customHeight="false" outlineLevel="0" collapsed="false">
      <c r="A564" s="9"/>
      <c r="B564" s="9"/>
      <c r="C564" s="9"/>
      <c r="D564" s="9"/>
      <c r="E564" s="9"/>
      <c r="F564" s="9" t="s">
        <v>1490</v>
      </c>
      <c r="G564" s="10" t="s">
        <v>1499</v>
      </c>
      <c r="H564" s="9"/>
      <c r="I564" s="9" t="n">
        <v>1</v>
      </c>
      <c r="J564" s="9" t="n">
        <v>0</v>
      </c>
      <c r="K564" s="11" t="n">
        <v>0</v>
      </c>
      <c r="L564" s="11" t="n">
        <v>1</v>
      </c>
      <c r="M564" s="9" t="n">
        <v>0</v>
      </c>
      <c r="N564" s="11" t="n">
        <v>1</v>
      </c>
      <c r="O564" s="11" t="n">
        <v>0.6</v>
      </c>
      <c r="P564" s="12"/>
      <c r="Q564" s="12"/>
      <c r="R564" s="12"/>
      <c r="S564" s="12"/>
      <c r="T564" s="9" t="s">
        <v>1495</v>
      </c>
      <c r="U564" s="9" t="s">
        <v>1499</v>
      </c>
    </row>
    <row r="565" customFormat="false" ht="15" hidden="false" customHeight="false" outlineLevel="0" collapsed="false">
      <c r="A565" s="9"/>
      <c r="B565" s="9"/>
      <c r="C565" s="9"/>
      <c r="D565" s="9"/>
      <c r="E565" s="9"/>
      <c r="F565" s="9" t="s">
        <v>1500</v>
      </c>
      <c r="G565" s="10" t="s">
        <v>1501</v>
      </c>
      <c r="H565" s="9"/>
      <c r="I565" s="9" t="n">
        <v>1</v>
      </c>
      <c r="J565" s="9" t="n">
        <v>0</v>
      </c>
      <c r="K565" s="11" t="n">
        <v>0</v>
      </c>
      <c r="L565" s="11" t="n">
        <v>1</v>
      </c>
      <c r="M565" s="9" t="n">
        <v>0</v>
      </c>
      <c r="N565" s="11" t="n">
        <v>1</v>
      </c>
      <c r="O565" s="11" t="n">
        <v>0.6</v>
      </c>
      <c r="P565" s="12"/>
      <c r="Q565" s="12"/>
      <c r="R565" s="12"/>
      <c r="S565" s="12"/>
      <c r="T565" s="9" t="s">
        <v>1495</v>
      </c>
      <c r="U565" s="9" t="s">
        <v>1501</v>
      </c>
    </row>
    <row r="566" customFormat="false" ht="15" hidden="false" customHeight="false" outlineLevel="0" collapsed="false">
      <c r="A566" s="9"/>
      <c r="B566" s="9"/>
      <c r="C566" s="9"/>
      <c r="D566" s="9"/>
      <c r="E566" s="9"/>
      <c r="F566" s="9" t="s">
        <v>1502</v>
      </c>
      <c r="G566" s="10" t="s">
        <v>1503</v>
      </c>
      <c r="H566" s="9" t="s">
        <v>517</v>
      </c>
      <c r="I566" s="9" t="n">
        <v>3</v>
      </c>
      <c r="J566" s="9" t="n">
        <v>139</v>
      </c>
      <c r="K566" s="11" t="n">
        <v>0.151</v>
      </c>
      <c r="L566" s="11" t="n">
        <v>1</v>
      </c>
      <c r="M566" s="9" t="n">
        <v>0</v>
      </c>
      <c r="N566" s="11" t="n">
        <v>0.167</v>
      </c>
      <c r="O566" s="11" t="n">
        <v>0.575</v>
      </c>
      <c r="P566" s="12"/>
      <c r="Q566" s="12"/>
      <c r="R566" s="12"/>
      <c r="S566" s="12"/>
      <c r="T566" s="9" t="s">
        <v>1495</v>
      </c>
      <c r="U566" s="9" t="s">
        <v>1503</v>
      </c>
    </row>
    <row r="567" customFormat="false" ht="15" hidden="false" customHeight="false" outlineLevel="0" collapsed="false">
      <c r="A567" s="7" t="s">
        <v>1312</v>
      </c>
      <c r="B567" s="7" t="s">
        <v>1504</v>
      </c>
      <c r="C567" s="8" t="s">
        <v>731</v>
      </c>
      <c r="D567" s="7" t="s">
        <v>1505</v>
      </c>
      <c r="E567" s="7" t="n">
        <v>4756</v>
      </c>
      <c r="F567" s="9" t="s">
        <v>1504</v>
      </c>
      <c r="G567" s="10" t="s">
        <v>1506</v>
      </c>
      <c r="H567" s="9" t="s">
        <v>1507</v>
      </c>
      <c r="I567" s="9" t="n">
        <v>136</v>
      </c>
      <c r="J567" s="9" t="n">
        <v>2291</v>
      </c>
      <c r="K567" s="11" t="n">
        <v>0.6</v>
      </c>
      <c r="L567" s="11" t="n">
        <v>1</v>
      </c>
      <c r="M567" s="9" t="n">
        <v>0.5</v>
      </c>
      <c r="N567" s="11" t="n">
        <v>0.533</v>
      </c>
      <c r="O567" s="11" t="n">
        <v>0.78</v>
      </c>
      <c r="P567" s="12"/>
      <c r="Q567" s="12"/>
      <c r="R567" s="12"/>
      <c r="S567" s="12"/>
      <c r="T567" s="9" t="s">
        <v>1508</v>
      </c>
      <c r="U567" s="9" t="s">
        <v>1506</v>
      </c>
    </row>
    <row r="568" customFormat="false" ht="15" hidden="false" customHeight="false" outlineLevel="0" collapsed="false">
      <c r="A568" s="9"/>
      <c r="B568" s="9"/>
      <c r="C568" s="9"/>
      <c r="D568" s="9"/>
      <c r="E568" s="9"/>
      <c r="F568" s="9" t="s">
        <v>1509</v>
      </c>
      <c r="G568" s="10" t="s">
        <v>1510</v>
      </c>
      <c r="H568" s="9" t="s">
        <v>1511</v>
      </c>
      <c r="I568" s="9" t="n">
        <v>26</v>
      </c>
      <c r="J568" s="9" t="n">
        <v>117</v>
      </c>
      <c r="K568" s="11" t="n">
        <v>0.031</v>
      </c>
      <c r="L568" s="11" t="n">
        <v>0.92</v>
      </c>
      <c r="M568" s="9" t="n">
        <v>1</v>
      </c>
      <c r="N568" s="11" t="n">
        <v>0</v>
      </c>
      <c r="O568" s="11" t="n">
        <v>0.764</v>
      </c>
      <c r="P568" s="12"/>
      <c r="Q568" s="12"/>
      <c r="R568" s="12"/>
      <c r="S568" s="12"/>
      <c r="T568" s="9" t="s">
        <v>1508</v>
      </c>
      <c r="U568" s="9" t="s">
        <v>1510</v>
      </c>
    </row>
    <row r="569" customFormat="false" ht="15" hidden="false" customHeight="false" outlineLevel="0" collapsed="false">
      <c r="A569" s="9"/>
      <c r="B569" s="9"/>
      <c r="C569" s="9"/>
      <c r="D569" s="9"/>
      <c r="E569" s="9"/>
      <c r="F569" s="9" t="s">
        <v>1504</v>
      </c>
      <c r="G569" s="10" t="s">
        <v>1512</v>
      </c>
      <c r="H569" s="9" t="s">
        <v>1513</v>
      </c>
      <c r="I569" s="9" t="n">
        <v>29</v>
      </c>
      <c r="J569" s="9" t="n">
        <v>137</v>
      </c>
      <c r="K569" s="11" t="n">
        <v>0.036</v>
      </c>
      <c r="L569" s="11" t="n">
        <v>1</v>
      </c>
      <c r="M569" s="9" t="n">
        <v>0.5</v>
      </c>
      <c r="N569" s="11" t="n">
        <v>0.25</v>
      </c>
      <c r="O569" s="11" t="n">
        <v>0.688</v>
      </c>
      <c r="P569" s="12"/>
      <c r="Q569" s="12"/>
      <c r="R569" s="12"/>
      <c r="S569" s="12"/>
      <c r="T569" s="9" t="s">
        <v>1508</v>
      </c>
      <c r="U569" s="9" t="s">
        <v>1512</v>
      </c>
    </row>
    <row r="570" customFormat="false" ht="15" hidden="false" customHeight="false" outlineLevel="0" collapsed="false">
      <c r="A570" s="9"/>
      <c r="B570" s="9"/>
      <c r="C570" s="9"/>
      <c r="D570" s="9"/>
      <c r="E570" s="9"/>
      <c r="F570" s="9" t="s">
        <v>1504</v>
      </c>
      <c r="G570" s="10" t="s">
        <v>1514</v>
      </c>
      <c r="H570" s="9" t="s">
        <v>1515</v>
      </c>
      <c r="I570" s="9" t="n">
        <v>245</v>
      </c>
      <c r="J570" s="9" t="n">
        <v>8243</v>
      </c>
      <c r="K570" s="11" t="n">
        <v>2.16</v>
      </c>
      <c r="L570" s="11" t="n">
        <v>1</v>
      </c>
      <c r="M570" s="9" t="n">
        <v>0.5</v>
      </c>
      <c r="N570" s="11" t="n">
        <v>0.095</v>
      </c>
      <c r="O570" s="11" t="n">
        <v>0.664</v>
      </c>
      <c r="P570" s="12"/>
      <c r="Q570" s="12"/>
      <c r="R570" s="12"/>
      <c r="S570" s="12"/>
      <c r="T570" s="9" t="s">
        <v>1508</v>
      </c>
      <c r="U570" s="9" t="s">
        <v>1514</v>
      </c>
    </row>
    <row r="571" customFormat="false" ht="15" hidden="false" customHeight="false" outlineLevel="0" collapsed="false">
      <c r="A571" s="9"/>
      <c r="B571" s="9"/>
      <c r="C571" s="9"/>
      <c r="D571" s="9"/>
      <c r="E571" s="9"/>
      <c r="F571" s="9" t="s">
        <v>1516</v>
      </c>
      <c r="G571" s="10" t="s">
        <v>1517</v>
      </c>
      <c r="H571" s="9" t="s">
        <v>1518</v>
      </c>
      <c r="I571" s="9" t="n">
        <v>36</v>
      </c>
      <c r="J571" s="9" t="n">
        <v>150</v>
      </c>
      <c r="K571" s="11" t="n">
        <v>0.039</v>
      </c>
      <c r="L571" s="11" t="n">
        <v>1</v>
      </c>
      <c r="M571" s="9" t="n">
        <v>0</v>
      </c>
      <c r="N571" s="11" t="n">
        <v>1</v>
      </c>
      <c r="O571" s="11" t="n">
        <v>0.65</v>
      </c>
      <c r="P571" s="12"/>
      <c r="Q571" s="12"/>
      <c r="R571" s="12"/>
      <c r="S571" s="12"/>
      <c r="T571" s="9" t="s">
        <v>1508</v>
      </c>
      <c r="U571" s="9" t="s">
        <v>1517</v>
      </c>
    </row>
    <row r="572" customFormat="false" ht="15" hidden="false" customHeight="false" outlineLevel="0" collapsed="false">
      <c r="A572" s="7" t="s">
        <v>1312</v>
      </c>
      <c r="B572" s="7" t="s">
        <v>1519</v>
      </c>
      <c r="C572" s="8" t="s">
        <v>380</v>
      </c>
      <c r="D572" s="7" t="s">
        <v>1520</v>
      </c>
      <c r="E572" s="7" t="n">
        <v>2543</v>
      </c>
      <c r="F572" s="9" t="s">
        <v>1519</v>
      </c>
      <c r="G572" s="10" t="s">
        <v>1521</v>
      </c>
      <c r="H572" s="9" t="s">
        <v>1522</v>
      </c>
      <c r="I572" s="9" t="n">
        <v>2</v>
      </c>
      <c r="J572" s="9" t="n">
        <v>2</v>
      </c>
      <c r="K572" s="11" t="n">
        <v>0.001</v>
      </c>
      <c r="L572" s="11" t="n">
        <v>1</v>
      </c>
      <c r="M572" s="9" t="n">
        <v>0</v>
      </c>
      <c r="N572" s="11" t="n">
        <v>0.4</v>
      </c>
      <c r="O572" s="11" t="n">
        <v>0.51</v>
      </c>
      <c r="P572" s="12"/>
      <c r="Q572" s="12"/>
      <c r="R572" s="12"/>
      <c r="S572" s="12"/>
      <c r="T572" s="9" t="s">
        <v>1523</v>
      </c>
      <c r="U572" s="9" t="s">
        <v>1521</v>
      </c>
    </row>
    <row r="573" customFormat="false" ht="15" hidden="false" customHeight="false" outlineLevel="0" collapsed="false">
      <c r="A573" s="7" t="s">
        <v>1312</v>
      </c>
      <c r="B573" s="7" t="s">
        <v>1524</v>
      </c>
      <c r="C573" s="8" t="s">
        <v>502</v>
      </c>
      <c r="D573" s="7" t="s">
        <v>623</v>
      </c>
      <c r="E573" s="7" t="n">
        <v>3070</v>
      </c>
      <c r="F573" s="9" t="s">
        <v>1525</v>
      </c>
      <c r="G573" s="10" t="s">
        <v>1526</v>
      </c>
      <c r="H573" s="9"/>
      <c r="I573" s="9" t="n">
        <v>20</v>
      </c>
      <c r="J573" s="9" t="n">
        <v>67</v>
      </c>
      <c r="K573" s="11" t="n">
        <v>0.022</v>
      </c>
      <c r="L573" s="11" t="n">
        <v>1</v>
      </c>
      <c r="M573" s="9" t="n">
        <v>0</v>
      </c>
      <c r="N573" s="11" t="n">
        <v>1</v>
      </c>
      <c r="O573" s="11" t="n">
        <v>0.6</v>
      </c>
      <c r="P573" s="12"/>
      <c r="Q573" s="12"/>
      <c r="R573" s="12"/>
      <c r="S573" s="12"/>
      <c r="T573" s="9" t="s">
        <v>1527</v>
      </c>
      <c r="U573" s="9" t="s">
        <v>1526</v>
      </c>
    </row>
    <row r="574" customFormat="false" ht="15" hidden="false" customHeight="false" outlineLevel="0" collapsed="false">
      <c r="A574" s="9"/>
      <c r="B574" s="9"/>
      <c r="C574" s="9"/>
      <c r="D574" s="9"/>
      <c r="E574" s="9"/>
      <c r="F574" s="9" t="s">
        <v>1528</v>
      </c>
      <c r="G574" s="10" t="s">
        <v>1529</v>
      </c>
      <c r="H574" s="9" t="s">
        <v>1530</v>
      </c>
      <c r="I574" s="9" t="n">
        <v>1</v>
      </c>
      <c r="J574" s="9" t="n">
        <v>0</v>
      </c>
      <c r="K574" s="11" t="n">
        <v>0</v>
      </c>
      <c r="L574" s="11" t="n">
        <v>1</v>
      </c>
      <c r="M574" s="9" t="n">
        <v>0</v>
      </c>
      <c r="N574" s="11" t="n">
        <v>1</v>
      </c>
      <c r="O574" s="11" t="n">
        <v>0.6</v>
      </c>
      <c r="P574" s="12"/>
      <c r="Q574" s="12"/>
      <c r="R574" s="12"/>
      <c r="S574" s="12"/>
      <c r="T574" s="9" t="s">
        <v>1527</v>
      </c>
      <c r="U574" s="9" t="s">
        <v>1529</v>
      </c>
    </row>
    <row r="575" customFormat="false" ht="15" hidden="false" customHeight="false" outlineLevel="0" collapsed="false">
      <c r="A575" s="7" t="s">
        <v>1312</v>
      </c>
      <c r="B575" s="7" t="s">
        <v>1531</v>
      </c>
      <c r="C575" s="8" t="s">
        <v>727</v>
      </c>
      <c r="D575" s="7" t="s">
        <v>1532</v>
      </c>
      <c r="E575" s="7" t="n">
        <v>46</v>
      </c>
      <c r="F575" s="9" t="s">
        <v>1531</v>
      </c>
      <c r="G575" s="10" t="s">
        <v>1533</v>
      </c>
      <c r="H575" s="9"/>
      <c r="I575" s="9" t="n">
        <v>5</v>
      </c>
      <c r="J575" s="9" t="n">
        <v>17</v>
      </c>
      <c r="K575" s="11" t="n">
        <v>0.395</v>
      </c>
      <c r="L575" s="11" t="n">
        <v>1</v>
      </c>
      <c r="M575" s="9" t="n">
        <v>0</v>
      </c>
      <c r="N575" s="11" t="n">
        <v>0.833</v>
      </c>
      <c r="O575" s="11" t="n">
        <v>0.675</v>
      </c>
      <c r="P575" s="12"/>
      <c r="Q575" s="12"/>
      <c r="R575" s="12"/>
      <c r="S575" s="12"/>
      <c r="T575" s="9" t="s">
        <v>1534</v>
      </c>
      <c r="U575" s="9" t="s">
        <v>1533</v>
      </c>
    </row>
    <row r="576" customFormat="false" ht="15" hidden="false" customHeight="false" outlineLevel="0" collapsed="false">
      <c r="A576" s="7" t="s">
        <v>1312</v>
      </c>
      <c r="B576" s="7" t="s">
        <v>1535</v>
      </c>
      <c r="C576" s="8" t="s">
        <v>744</v>
      </c>
      <c r="D576" s="7" t="s">
        <v>1536</v>
      </c>
      <c r="E576" s="7" t="n">
        <v>68</v>
      </c>
      <c r="F576" s="9" t="s">
        <v>1537</v>
      </c>
      <c r="G576" s="10" t="s">
        <v>1538</v>
      </c>
      <c r="H576" s="9" t="s">
        <v>754</v>
      </c>
      <c r="I576" s="9" t="n">
        <v>38</v>
      </c>
      <c r="J576" s="9" t="n">
        <v>1</v>
      </c>
      <c r="K576" s="11" t="n">
        <v>0.015</v>
      </c>
      <c r="L576" s="11" t="n">
        <v>1</v>
      </c>
      <c r="M576" s="9" t="n">
        <v>0</v>
      </c>
      <c r="N576" s="11" t="n">
        <v>0</v>
      </c>
      <c r="O576" s="11" t="n">
        <v>0.45</v>
      </c>
      <c r="P576" s="12"/>
      <c r="Q576" s="12"/>
      <c r="R576" s="12"/>
      <c r="S576" s="12"/>
      <c r="T576" s="9" t="s">
        <v>1539</v>
      </c>
      <c r="U576" s="9" t="s">
        <v>1538</v>
      </c>
    </row>
    <row r="577" customFormat="false" ht="15" hidden="false" customHeight="false" outlineLevel="0" collapsed="false">
      <c r="A577" s="7" t="s">
        <v>1312</v>
      </c>
      <c r="B577" s="7" t="s">
        <v>1540</v>
      </c>
      <c r="C577" s="8" t="s">
        <v>370</v>
      </c>
      <c r="D577" s="7" t="s">
        <v>1541</v>
      </c>
      <c r="E577" s="7" t="n">
        <v>191</v>
      </c>
      <c r="F577" s="9" t="s">
        <v>1542</v>
      </c>
      <c r="G577" s="10" t="s">
        <v>1543</v>
      </c>
      <c r="H577" s="9" t="s">
        <v>450</v>
      </c>
      <c r="I577" s="9" t="n">
        <v>4</v>
      </c>
      <c r="J577" s="9" t="n">
        <v>106</v>
      </c>
      <c r="K577" s="11" t="n">
        <v>0.596</v>
      </c>
      <c r="L577" s="11" t="n">
        <v>1</v>
      </c>
      <c r="M577" s="9" t="n">
        <v>0</v>
      </c>
      <c r="N577" s="11" t="n">
        <v>1</v>
      </c>
      <c r="O577" s="11" t="n">
        <v>0.7</v>
      </c>
      <c r="P577" s="12"/>
      <c r="Q577" s="12"/>
      <c r="R577" s="12"/>
      <c r="S577" s="12"/>
      <c r="T577" s="9" t="s">
        <v>1544</v>
      </c>
      <c r="U577" s="9" t="s">
        <v>1543</v>
      </c>
    </row>
    <row r="578" customFormat="false" ht="15" hidden="false" customHeight="false" outlineLevel="0" collapsed="false">
      <c r="A578" s="9"/>
      <c r="B578" s="9"/>
      <c r="C578" s="9"/>
      <c r="D578" s="9"/>
      <c r="E578" s="9"/>
      <c r="F578" s="9" t="s">
        <v>1545</v>
      </c>
      <c r="G578" s="10" t="s">
        <v>1546</v>
      </c>
      <c r="H578" s="9" t="s">
        <v>1547</v>
      </c>
      <c r="I578" s="9" t="n">
        <v>25</v>
      </c>
      <c r="J578" s="9" t="n">
        <v>95</v>
      </c>
      <c r="K578" s="11" t="n">
        <v>0.534</v>
      </c>
      <c r="L578" s="11" t="n">
        <v>1</v>
      </c>
      <c r="M578" s="9" t="n">
        <v>0</v>
      </c>
      <c r="N578" s="11" t="n">
        <v>0.895</v>
      </c>
      <c r="O578" s="11" t="n">
        <v>0.684</v>
      </c>
      <c r="P578" s="12"/>
      <c r="Q578" s="12"/>
      <c r="R578" s="12"/>
      <c r="S578" s="12"/>
      <c r="T578" s="9" t="s">
        <v>1544</v>
      </c>
      <c r="U578" s="9" t="s">
        <v>1546</v>
      </c>
    </row>
    <row r="579" customFormat="false" ht="15" hidden="false" customHeight="false" outlineLevel="0" collapsed="false">
      <c r="A579" s="9"/>
      <c r="B579" s="9"/>
      <c r="C579" s="9"/>
      <c r="D579" s="9"/>
      <c r="E579" s="9"/>
      <c r="F579" s="9" t="s">
        <v>1548</v>
      </c>
      <c r="G579" s="10" t="s">
        <v>1549</v>
      </c>
      <c r="H579" s="9"/>
      <c r="I579" s="9" t="n">
        <v>14</v>
      </c>
      <c r="J579" s="9" t="n">
        <v>90</v>
      </c>
      <c r="K579" s="11" t="n">
        <v>0.506</v>
      </c>
      <c r="L579" s="11" t="n">
        <v>1</v>
      </c>
      <c r="M579" s="9" t="n">
        <v>0</v>
      </c>
      <c r="N579" s="11" t="n">
        <v>0.818</v>
      </c>
      <c r="O579" s="11" t="n">
        <v>0.673</v>
      </c>
      <c r="P579" s="12"/>
      <c r="Q579" s="12"/>
      <c r="R579" s="12"/>
      <c r="S579" s="12"/>
      <c r="T579" s="9" t="s">
        <v>1544</v>
      </c>
      <c r="U579" s="9" t="s">
        <v>1549</v>
      </c>
    </row>
    <row r="580" customFormat="false" ht="15" hidden="false" customHeight="false" outlineLevel="0" collapsed="false">
      <c r="A580" s="9"/>
      <c r="B580" s="9"/>
      <c r="C580" s="9"/>
      <c r="D580" s="9"/>
      <c r="E580" s="9"/>
      <c r="F580" s="9" t="s">
        <v>1550</v>
      </c>
      <c r="G580" s="10" t="s">
        <v>1551</v>
      </c>
      <c r="H580" s="9"/>
      <c r="I580" s="9" t="n">
        <v>3</v>
      </c>
      <c r="J580" s="9" t="n">
        <v>14</v>
      </c>
      <c r="K580" s="11" t="n">
        <v>0.079</v>
      </c>
      <c r="L580" s="11" t="n">
        <v>0.92</v>
      </c>
      <c r="M580" s="9" t="n">
        <v>0</v>
      </c>
      <c r="N580" s="11" t="n">
        <v>0.857</v>
      </c>
      <c r="O580" s="11" t="n">
        <v>0.593</v>
      </c>
      <c r="P580" s="12"/>
      <c r="Q580" s="12"/>
      <c r="R580" s="12"/>
      <c r="S580" s="12"/>
      <c r="T580" s="9" t="s">
        <v>1544</v>
      </c>
      <c r="U580" s="9" t="s">
        <v>1551</v>
      </c>
    </row>
    <row r="581" customFormat="false" ht="15" hidden="false" customHeight="false" outlineLevel="0" collapsed="false">
      <c r="A581" s="9"/>
      <c r="B581" s="9"/>
      <c r="C581" s="9"/>
      <c r="D581" s="9"/>
      <c r="E581" s="9"/>
      <c r="F581" s="9" t="s">
        <v>1552</v>
      </c>
      <c r="G581" s="10" t="s">
        <v>1553</v>
      </c>
      <c r="H581" s="9"/>
      <c r="I581" s="9" t="n">
        <v>22</v>
      </c>
      <c r="J581" s="9" t="n">
        <v>8</v>
      </c>
      <c r="K581" s="11" t="n">
        <v>0.045</v>
      </c>
      <c r="L581" s="11" t="n">
        <v>0.92</v>
      </c>
      <c r="M581" s="9" t="n">
        <v>0</v>
      </c>
      <c r="N581" s="11" t="n">
        <v>0.793</v>
      </c>
      <c r="O581" s="11" t="n">
        <v>0.583</v>
      </c>
      <c r="P581" s="12"/>
      <c r="Q581" s="12"/>
      <c r="R581" s="12"/>
      <c r="S581" s="12"/>
      <c r="T581" s="9" t="s">
        <v>1544</v>
      </c>
      <c r="U581" s="9" t="s">
        <v>1553</v>
      </c>
    </row>
    <row r="582" customFormat="false" ht="15" hidden="false" customHeight="false" outlineLevel="0" collapsed="false">
      <c r="A582" s="7" t="s">
        <v>1312</v>
      </c>
      <c r="B582" s="7" t="s">
        <v>1554</v>
      </c>
      <c r="C582" s="8" t="s">
        <v>1555</v>
      </c>
      <c r="D582" s="7" t="s">
        <v>1556</v>
      </c>
      <c r="E582" s="7" t="n">
        <v>676</v>
      </c>
      <c r="F582" s="9" t="s">
        <v>1554</v>
      </c>
      <c r="G582" s="10" t="s">
        <v>1557</v>
      </c>
      <c r="H582" s="9" t="s">
        <v>319</v>
      </c>
      <c r="I582" s="9" t="n">
        <v>41</v>
      </c>
      <c r="J582" s="9" t="n">
        <v>418</v>
      </c>
      <c r="K582" s="11" t="n">
        <v>0.658</v>
      </c>
      <c r="L582" s="11" t="n">
        <v>1</v>
      </c>
      <c r="M582" s="9" t="n">
        <v>0</v>
      </c>
      <c r="N582" s="11" t="n">
        <v>0.462</v>
      </c>
      <c r="O582" s="11" t="n">
        <v>0.619</v>
      </c>
      <c r="P582" s="12"/>
      <c r="Q582" s="12"/>
      <c r="R582" s="12"/>
      <c r="S582" s="12"/>
      <c r="T582" s="9" t="s">
        <v>1558</v>
      </c>
      <c r="U582" s="9" t="s">
        <v>1557</v>
      </c>
    </row>
    <row r="583" customFormat="false" ht="15" hidden="false" customHeight="false" outlineLevel="0" collapsed="false">
      <c r="A583" s="7" t="s">
        <v>1312</v>
      </c>
      <c r="B583" s="7" t="s">
        <v>1559</v>
      </c>
      <c r="C583" s="8" t="s">
        <v>1560</v>
      </c>
      <c r="D583" s="7" t="s">
        <v>1561</v>
      </c>
      <c r="E583" s="7" t="n">
        <v>991</v>
      </c>
      <c r="F583" s="9" t="s">
        <v>1559</v>
      </c>
      <c r="G583" s="10" t="s">
        <v>1562</v>
      </c>
      <c r="H583" s="9"/>
      <c r="I583" s="9" t="n">
        <v>34</v>
      </c>
      <c r="J583" s="9" t="n">
        <v>594</v>
      </c>
      <c r="K583" s="11" t="n">
        <v>0.696</v>
      </c>
      <c r="L583" s="11" t="n">
        <v>1</v>
      </c>
      <c r="M583" s="9" t="n">
        <v>0.5</v>
      </c>
      <c r="N583" s="11" t="n">
        <v>1</v>
      </c>
      <c r="O583" s="11" t="n">
        <v>0.85</v>
      </c>
      <c r="P583" s="12"/>
      <c r="Q583" s="12"/>
      <c r="R583" s="12"/>
      <c r="S583" s="12"/>
      <c r="T583" s="9" t="s">
        <v>1563</v>
      </c>
      <c r="U583" s="9" t="s">
        <v>1562</v>
      </c>
    </row>
    <row r="584" customFormat="false" ht="15" hidden="false" customHeight="false" outlineLevel="0" collapsed="false">
      <c r="A584" s="9"/>
      <c r="B584" s="9"/>
      <c r="C584" s="9"/>
      <c r="D584" s="9"/>
      <c r="E584" s="9"/>
      <c r="F584" s="9" t="s">
        <v>1564</v>
      </c>
      <c r="G584" s="10" t="s">
        <v>1565</v>
      </c>
      <c r="H584" s="9"/>
      <c r="I584" s="9" t="n">
        <v>2</v>
      </c>
      <c r="J584" s="9" t="n">
        <v>0</v>
      </c>
      <c r="K584" s="11" t="n">
        <v>0</v>
      </c>
      <c r="L584" s="11" t="n">
        <v>1</v>
      </c>
      <c r="M584" s="9" t="n">
        <v>0</v>
      </c>
      <c r="N584" s="11" t="n">
        <v>1</v>
      </c>
      <c r="O584" s="11" t="n">
        <v>0.6</v>
      </c>
      <c r="P584" s="12"/>
      <c r="Q584" s="12"/>
      <c r="R584" s="12"/>
      <c r="S584" s="12"/>
      <c r="T584" s="9" t="s">
        <v>1563</v>
      </c>
      <c r="U584" s="9" t="s">
        <v>1565</v>
      </c>
    </row>
    <row r="585" customFormat="false" ht="15" hidden="false" customHeight="false" outlineLevel="0" collapsed="false">
      <c r="A585" s="9"/>
      <c r="B585" s="9"/>
      <c r="C585" s="9"/>
      <c r="D585" s="9"/>
      <c r="E585" s="9"/>
      <c r="F585" s="9" t="s">
        <v>1566</v>
      </c>
      <c r="G585" s="10" t="s">
        <v>1567</v>
      </c>
      <c r="H585" s="9" t="s">
        <v>1568</v>
      </c>
      <c r="I585" s="9" t="n">
        <v>128</v>
      </c>
      <c r="J585" s="9" t="n">
        <v>895</v>
      </c>
      <c r="K585" s="11" t="n">
        <v>1.049</v>
      </c>
      <c r="L585" s="11" t="n">
        <v>0.897</v>
      </c>
      <c r="M585" s="9" t="n">
        <v>0</v>
      </c>
      <c r="N585" s="11" t="n">
        <v>0.182</v>
      </c>
      <c r="O585" s="11" t="n">
        <v>0.531</v>
      </c>
      <c r="P585" s="12"/>
      <c r="Q585" s="12"/>
      <c r="R585" s="12"/>
      <c r="S585" s="12"/>
      <c r="T585" s="9" t="s">
        <v>1563</v>
      </c>
      <c r="U585" s="9" t="s">
        <v>1567</v>
      </c>
    </row>
    <row r="586" customFormat="false" ht="15" hidden="false" customHeight="false" outlineLevel="0" collapsed="false">
      <c r="A586" s="9"/>
      <c r="B586" s="9"/>
      <c r="C586" s="9"/>
      <c r="D586" s="9"/>
      <c r="E586" s="9"/>
      <c r="F586" s="9" t="s">
        <v>1569</v>
      </c>
      <c r="G586" s="10" t="s">
        <v>1570</v>
      </c>
      <c r="H586" s="9"/>
      <c r="I586" s="9" t="n">
        <v>1</v>
      </c>
      <c r="J586" s="9" t="n">
        <v>44</v>
      </c>
      <c r="K586" s="11" t="n">
        <v>0.052</v>
      </c>
      <c r="L586" s="11" t="n">
        <v>0.897</v>
      </c>
      <c r="M586" s="9" t="n">
        <v>0</v>
      </c>
      <c r="N586" s="11" t="n">
        <v>0.333</v>
      </c>
      <c r="O586" s="11" t="n">
        <v>0.504</v>
      </c>
      <c r="P586" s="12"/>
      <c r="Q586" s="12"/>
      <c r="R586" s="12"/>
      <c r="S586" s="12"/>
      <c r="T586" s="9" t="s">
        <v>1563</v>
      </c>
      <c r="U586" s="9" t="s">
        <v>1570</v>
      </c>
    </row>
    <row r="587" customFormat="false" ht="15" hidden="false" customHeight="false" outlineLevel="0" collapsed="false">
      <c r="A587" s="9"/>
      <c r="B587" s="9"/>
      <c r="C587" s="9"/>
      <c r="D587" s="9"/>
      <c r="E587" s="9"/>
      <c r="F587" s="9" t="s">
        <v>1569</v>
      </c>
      <c r="G587" s="10" t="s">
        <v>1571</v>
      </c>
      <c r="H587" s="9"/>
      <c r="I587" s="9" t="n">
        <v>1</v>
      </c>
      <c r="J587" s="9" t="n">
        <v>0</v>
      </c>
      <c r="K587" s="11" t="n">
        <v>0</v>
      </c>
      <c r="L587" s="11" t="n">
        <v>0.897</v>
      </c>
      <c r="M587" s="9" t="n">
        <v>0</v>
      </c>
      <c r="N587" s="11" t="n">
        <v>0.333</v>
      </c>
      <c r="O587" s="11" t="n">
        <v>0.454</v>
      </c>
      <c r="P587" s="12"/>
      <c r="Q587" s="12"/>
      <c r="R587" s="12"/>
      <c r="S587" s="12"/>
      <c r="T587" s="9" t="s">
        <v>1563</v>
      </c>
      <c r="U587" s="9" t="s">
        <v>1571</v>
      </c>
    </row>
    <row r="588" customFormat="false" ht="15" hidden="false" customHeight="false" outlineLevel="0" collapsed="false">
      <c r="A588" s="7" t="s">
        <v>1312</v>
      </c>
      <c r="B588" s="7" t="s">
        <v>1572</v>
      </c>
      <c r="C588" s="8" t="s">
        <v>1573</v>
      </c>
      <c r="D588" s="7" t="s">
        <v>1574</v>
      </c>
      <c r="E588" s="7" t="n">
        <v>98</v>
      </c>
      <c r="F588" s="9" t="s">
        <v>1572</v>
      </c>
      <c r="G588" s="10" t="s">
        <v>1575</v>
      </c>
      <c r="H588" s="9" t="s">
        <v>1576</v>
      </c>
      <c r="I588" s="9" t="n">
        <v>1</v>
      </c>
      <c r="J588" s="9" t="n">
        <v>0</v>
      </c>
      <c r="K588" s="11" t="n">
        <v>0</v>
      </c>
      <c r="L588" s="11" t="n">
        <v>1</v>
      </c>
      <c r="M588" s="9" t="n">
        <v>0</v>
      </c>
      <c r="N588" s="11" t="n">
        <v>1</v>
      </c>
      <c r="O588" s="11" t="n">
        <v>0.6</v>
      </c>
      <c r="P588" s="12"/>
      <c r="Q588" s="12"/>
      <c r="R588" s="12"/>
      <c r="S588" s="12"/>
      <c r="T588" s="9" t="s">
        <v>1577</v>
      </c>
      <c r="U588" s="9" t="s">
        <v>1575</v>
      </c>
    </row>
    <row r="589" customFormat="false" ht="15" hidden="false" customHeight="false" outlineLevel="0" collapsed="false">
      <c r="A589" s="7" t="s">
        <v>1312</v>
      </c>
      <c r="B589" s="7" t="s">
        <v>1578</v>
      </c>
      <c r="C589" s="8" t="s">
        <v>727</v>
      </c>
      <c r="D589" s="7" t="s">
        <v>1579</v>
      </c>
      <c r="E589" s="7" t="n">
        <v>1008</v>
      </c>
      <c r="F589" s="9" t="s">
        <v>1578</v>
      </c>
      <c r="G589" s="10" t="s">
        <v>1580</v>
      </c>
      <c r="H589" s="9" t="s">
        <v>1581</v>
      </c>
      <c r="I589" s="9" t="n">
        <v>1</v>
      </c>
      <c r="J589" s="9" t="n">
        <v>0</v>
      </c>
      <c r="K589" s="11" t="n">
        <v>0</v>
      </c>
      <c r="L589" s="11" t="n">
        <v>1</v>
      </c>
      <c r="M589" s="9" t="n">
        <v>0</v>
      </c>
      <c r="N589" s="11" t="n">
        <v>1</v>
      </c>
      <c r="O589" s="11" t="n">
        <v>0.6</v>
      </c>
      <c r="P589" s="12"/>
      <c r="Q589" s="12"/>
      <c r="R589" s="12"/>
      <c r="S589" s="12"/>
      <c r="T589" s="9" t="s">
        <v>1582</v>
      </c>
      <c r="U589" s="9" t="s">
        <v>1580</v>
      </c>
    </row>
    <row r="590" customFormat="false" ht="15" hidden="false" customHeight="false" outlineLevel="0" collapsed="false">
      <c r="A590" s="9"/>
      <c r="B590" s="9"/>
      <c r="C590" s="9"/>
      <c r="D590" s="9"/>
      <c r="E590" s="9"/>
      <c r="F590" s="9" t="s">
        <v>1578</v>
      </c>
      <c r="G590" s="10" t="s">
        <v>1583</v>
      </c>
      <c r="H590" s="9"/>
      <c r="I590" s="9" t="n">
        <v>2</v>
      </c>
      <c r="J590" s="9" t="n">
        <v>10</v>
      </c>
      <c r="K590" s="11" t="n">
        <v>0.012</v>
      </c>
      <c r="L590" s="11" t="n">
        <v>1</v>
      </c>
      <c r="M590" s="9" t="n">
        <v>0</v>
      </c>
      <c r="N590" s="11" t="n">
        <v>0.5</v>
      </c>
      <c r="O590" s="11" t="n">
        <v>0.525</v>
      </c>
      <c r="P590" s="12"/>
      <c r="Q590" s="12"/>
      <c r="R590" s="12"/>
      <c r="S590" s="12"/>
      <c r="T590" s="9" t="s">
        <v>1582</v>
      </c>
      <c r="U590" s="9" t="s">
        <v>1583</v>
      </c>
    </row>
    <row r="591" customFormat="false" ht="15" hidden="false" customHeight="false" outlineLevel="0" collapsed="false">
      <c r="A591" s="9"/>
      <c r="B591" s="9"/>
      <c r="C591" s="9"/>
      <c r="D591" s="9"/>
      <c r="E591" s="9"/>
      <c r="F591" s="9" t="s">
        <v>1584</v>
      </c>
      <c r="G591" s="10" t="s">
        <v>1585</v>
      </c>
      <c r="H591" s="9"/>
      <c r="I591" s="9" t="n">
        <v>1</v>
      </c>
      <c r="J591" s="9" t="n">
        <v>1</v>
      </c>
      <c r="K591" s="11" t="n">
        <v>0.001</v>
      </c>
      <c r="L591" s="11" t="n">
        <v>1</v>
      </c>
      <c r="M591" s="9" t="n">
        <v>0</v>
      </c>
      <c r="N591" s="11" t="n">
        <v>0</v>
      </c>
      <c r="O591" s="11" t="n">
        <v>0.45</v>
      </c>
      <c r="P591" s="12"/>
      <c r="Q591" s="12"/>
      <c r="R591" s="12"/>
      <c r="S591" s="12"/>
      <c r="T591" s="9" t="s">
        <v>1582</v>
      </c>
      <c r="U591" s="9" t="s">
        <v>1585</v>
      </c>
    </row>
    <row r="592" customFormat="false" ht="15" hidden="false" customHeight="false" outlineLevel="0" collapsed="false">
      <c r="A592" s="9"/>
      <c r="B592" s="9"/>
      <c r="C592" s="9"/>
      <c r="D592" s="9"/>
      <c r="E592" s="9"/>
      <c r="F592" s="9" t="s">
        <v>1586</v>
      </c>
      <c r="G592" s="10" t="s">
        <v>1587</v>
      </c>
      <c r="H592" s="9"/>
      <c r="I592" s="9" t="n">
        <v>1</v>
      </c>
      <c r="J592" s="9" t="n">
        <v>1</v>
      </c>
      <c r="K592" s="11" t="n">
        <v>0.001</v>
      </c>
      <c r="L592" s="11" t="n">
        <v>0.653</v>
      </c>
      <c r="M592" s="9" t="n">
        <v>0</v>
      </c>
      <c r="N592" s="11" t="n">
        <v>1</v>
      </c>
      <c r="O592" s="11" t="n">
        <v>0.444</v>
      </c>
      <c r="P592" s="12"/>
      <c r="Q592" s="12"/>
      <c r="R592" s="12"/>
      <c r="S592" s="12"/>
      <c r="T592" s="9" t="s">
        <v>1582</v>
      </c>
      <c r="U592" s="9" t="s">
        <v>1587</v>
      </c>
    </row>
    <row r="593" customFormat="false" ht="15" hidden="false" customHeight="false" outlineLevel="0" collapsed="false">
      <c r="A593" s="7" t="s">
        <v>1312</v>
      </c>
      <c r="B593" s="7" t="s">
        <v>1588</v>
      </c>
      <c r="C593" s="8" t="s">
        <v>132</v>
      </c>
      <c r="D593" s="7" t="s">
        <v>963</v>
      </c>
      <c r="E593" s="7" t="n">
        <v>370</v>
      </c>
      <c r="F593" s="9" t="s">
        <v>1588</v>
      </c>
      <c r="G593" s="10" t="s">
        <v>1589</v>
      </c>
      <c r="H593" s="9" t="s">
        <v>1590</v>
      </c>
      <c r="I593" s="9" t="n">
        <v>41</v>
      </c>
      <c r="J593" s="9" t="n">
        <v>266</v>
      </c>
      <c r="K593" s="11" t="n">
        <v>0.719</v>
      </c>
      <c r="L593" s="11" t="n">
        <v>1</v>
      </c>
      <c r="M593" s="9" t="n">
        <v>0</v>
      </c>
      <c r="N593" s="11" t="n">
        <v>1</v>
      </c>
      <c r="O593" s="11" t="n">
        <v>0.7</v>
      </c>
      <c r="P593" s="12"/>
      <c r="Q593" s="12"/>
      <c r="R593" s="12"/>
      <c r="S593" s="12"/>
      <c r="T593" s="9" t="s">
        <v>1591</v>
      </c>
      <c r="U593" s="9" t="s">
        <v>1589</v>
      </c>
    </row>
    <row r="594" customFormat="false" ht="15" hidden="false" customHeight="false" outlineLevel="0" collapsed="false">
      <c r="A594" s="9"/>
      <c r="B594" s="9"/>
      <c r="C594" s="9"/>
      <c r="D594" s="9"/>
      <c r="E594" s="9"/>
      <c r="F594" s="9" t="s">
        <v>1592</v>
      </c>
      <c r="G594" s="10" t="s">
        <v>1593</v>
      </c>
      <c r="H594" s="9" t="s">
        <v>1594</v>
      </c>
      <c r="I594" s="9" t="n">
        <v>1</v>
      </c>
      <c r="J594" s="9" t="n">
        <v>107</v>
      </c>
      <c r="K594" s="11" t="n">
        <v>0.289</v>
      </c>
      <c r="L594" s="11" t="n">
        <v>1</v>
      </c>
      <c r="M594" s="9" t="n">
        <v>0</v>
      </c>
      <c r="N594" s="11" t="n">
        <v>1</v>
      </c>
      <c r="O594" s="11" t="n">
        <v>0.7</v>
      </c>
      <c r="P594" s="12"/>
      <c r="Q594" s="12"/>
      <c r="R594" s="12"/>
      <c r="S594" s="12"/>
      <c r="T594" s="9" t="s">
        <v>1591</v>
      </c>
      <c r="U594" s="9" t="s">
        <v>1593</v>
      </c>
    </row>
    <row r="595" customFormat="false" ht="15" hidden="false" customHeight="false" outlineLevel="0" collapsed="false">
      <c r="A595" s="9"/>
      <c r="B595" s="9"/>
      <c r="C595" s="9"/>
      <c r="D595" s="9"/>
      <c r="E595" s="9"/>
      <c r="F595" s="9" t="s">
        <v>1595</v>
      </c>
      <c r="G595" s="10" t="s">
        <v>1596</v>
      </c>
      <c r="H595" s="9" t="s">
        <v>115</v>
      </c>
      <c r="I595" s="9" t="n">
        <v>2</v>
      </c>
      <c r="J595" s="9" t="n">
        <v>195</v>
      </c>
      <c r="K595" s="11" t="n">
        <v>0.527</v>
      </c>
      <c r="L595" s="11" t="n">
        <v>1</v>
      </c>
      <c r="M595" s="9" t="n">
        <v>0</v>
      </c>
      <c r="N595" s="11" t="n">
        <v>0.8</v>
      </c>
      <c r="O595" s="11" t="n">
        <v>0.67</v>
      </c>
      <c r="P595" s="12"/>
      <c r="Q595" s="12"/>
      <c r="R595" s="12"/>
      <c r="S595" s="12"/>
      <c r="T595" s="9" t="s">
        <v>1591</v>
      </c>
      <c r="U595" s="9" t="s">
        <v>1596</v>
      </c>
    </row>
    <row r="596" customFormat="false" ht="15" hidden="false" customHeight="false" outlineLevel="0" collapsed="false">
      <c r="A596" s="9"/>
      <c r="B596" s="9"/>
      <c r="C596" s="9"/>
      <c r="D596" s="9"/>
      <c r="E596" s="9"/>
      <c r="F596" s="9" t="s">
        <v>1588</v>
      </c>
      <c r="G596" s="10" t="s">
        <v>1597</v>
      </c>
      <c r="H596" s="9" t="s">
        <v>1598</v>
      </c>
      <c r="I596" s="9" t="n">
        <v>7</v>
      </c>
      <c r="J596" s="9" t="n">
        <v>41</v>
      </c>
      <c r="K596" s="11" t="n">
        <v>0.111</v>
      </c>
      <c r="L596" s="11" t="n">
        <v>1</v>
      </c>
      <c r="M596" s="9" t="n">
        <v>0</v>
      </c>
      <c r="N596" s="11" t="n">
        <v>0.8</v>
      </c>
      <c r="O596" s="11" t="n">
        <v>0.67</v>
      </c>
      <c r="P596" s="12"/>
      <c r="Q596" s="12"/>
      <c r="R596" s="12"/>
      <c r="S596" s="12"/>
      <c r="T596" s="9" t="s">
        <v>1591</v>
      </c>
      <c r="U596" s="9" t="s">
        <v>1597</v>
      </c>
    </row>
    <row r="597" customFormat="false" ht="15" hidden="false" customHeight="false" outlineLevel="0" collapsed="false">
      <c r="A597" s="9"/>
      <c r="B597" s="9"/>
      <c r="C597" s="9"/>
      <c r="D597" s="9"/>
      <c r="E597" s="9"/>
      <c r="F597" s="9" t="s">
        <v>1588</v>
      </c>
      <c r="G597" s="10" t="s">
        <v>1599</v>
      </c>
      <c r="H597" s="9" t="s">
        <v>392</v>
      </c>
      <c r="I597" s="9" t="n">
        <v>6</v>
      </c>
      <c r="J597" s="9" t="n">
        <v>27</v>
      </c>
      <c r="K597" s="11" t="n">
        <v>0.073</v>
      </c>
      <c r="L597" s="11" t="n">
        <v>1</v>
      </c>
      <c r="M597" s="9" t="n">
        <v>0</v>
      </c>
      <c r="N597" s="11" t="n">
        <v>0.833</v>
      </c>
      <c r="O597" s="11" t="n">
        <v>0.625</v>
      </c>
      <c r="P597" s="12"/>
      <c r="Q597" s="12"/>
      <c r="R597" s="12"/>
      <c r="S597" s="12"/>
      <c r="T597" s="9" t="s">
        <v>1591</v>
      </c>
      <c r="U597" s="9" t="s">
        <v>1599</v>
      </c>
    </row>
    <row r="598" customFormat="false" ht="15" hidden="false" customHeight="false" outlineLevel="0" collapsed="false">
      <c r="A598" s="7" t="s">
        <v>1312</v>
      </c>
      <c r="B598" s="7" t="s">
        <v>1600</v>
      </c>
      <c r="C598" s="8" t="s">
        <v>201</v>
      </c>
      <c r="D598" s="7" t="s">
        <v>1601</v>
      </c>
      <c r="E598" s="7" t="n">
        <v>49</v>
      </c>
      <c r="F598" s="9" t="s">
        <v>1602</v>
      </c>
      <c r="G598" s="10" t="s">
        <v>1603</v>
      </c>
      <c r="H598" s="9"/>
      <c r="I598" s="9" t="n">
        <v>5</v>
      </c>
      <c r="J598" s="9" t="n">
        <v>10</v>
      </c>
      <c r="K598" s="11" t="n">
        <v>0.204</v>
      </c>
      <c r="L598" s="11" t="n">
        <v>1</v>
      </c>
      <c r="M598" s="9" t="n">
        <v>0</v>
      </c>
      <c r="N598" s="11" t="n">
        <v>0.667</v>
      </c>
      <c r="O598" s="11" t="n">
        <v>0.65</v>
      </c>
      <c r="P598" s="12"/>
      <c r="Q598" s="12"/>
      <c r="R598" s="12"/>
      <c r="S598" s="12"/>
      <c r="T598" s="9" t="s">
        <v>1604</v>
      </c>
      <c r="U598" s="9" t="s">
        <v>1603</v>
      </c>
    </row>
    <row r="599" customFormat="false" ht="15" hidden="false" customHeight="false" outlineLevel="0" collapsed="false">
      <c r="A599" s="9"/>
      <c r="B599" s="9"/>
      <c r="C599" s="9"/>
      <c r="D599" s="9"/>
      <c r="E599" s="9"/>
      <c r="F599" s="9" t="s">
        <v>1602</v>
      </c>
      <c r="G599" s="10" t="s">
        <v>1605</v>
      </c>
      <c r="H599" s="9"/>
      <c r="I599" s="9" t="n">
        <v>5</v>
      </c>
      <c r="J599" s="9" t="n">
        <v>0</v>
      </c>
      <c r="K599" s="11" t="n">
        <v>0</v>
      </c>
      <c r="L599" s="11" t="n">
        <v>1</v>
      </c>
      <c r="M599" s="9" t="n">
        <v>0</v>
      </c>
      <c r="N599" s="11" t="n">
        <v>0.6</v>
      </c>
      <c r="O599" s="11" t="n">
        <v>0.54</v>
      </c>
      <c r="P599" s="12"/>
      <c r="Q599" s="12"/>
      <c r="R599" s="12"/>
      <c r="S599" s="12"/>
      <c r="T599" s="9" t="s">
        <v>1604</v>
      </c>
      <c r="U599" s="9" t="s">
        <v>1605</v>
      </c>
    </row>
    <row r="600" customFormat="false" ht="15" hidden="false" customHeight="false" outlineLevel="0" collapsed="false">
      <c r="A600" s="7" t="s">
        <v>1312</v>
      </c>
      <c r="B600" s="7" t="s">
        <v>1606</v>
      </c>
      <c r="C600" s="8" t="s">
        <v>502</v>
      </c>
      <c r="D600" s="7" t="s">
        <v>1607</v>
      </c>
      <c r="E600" s="7" t="n">
        <v>133</v>
      </c>
      <c r="F600" s="9" t="s">
        <v>1606</v>
      </c>
      <c r="G600" s="10" t="s">
        <v>1608</v>
      </c>
      <c r="H600" s="9"/>
      <c r="I600" s="9" t="n">
        <v>9</v>
      </c>
      <c r="J600" s="9" t="n">
        <v>103</v>
      </c>
      <c r="K600" s="11" t="n">
        <v>0.774</v>
      </c>
      <c r="L600" s="11" t="n">
        <v>1</v>
      </c>
      <c r="M600" s="9" t="n">
        <v>0</v>
      </c>
      <c r="N600" s="11" t="n">
        <v>0.8</v>
      </c>
      <c r="O600" s="11" t="n">
        <v>0.67</v>
      </c>
      <c r="P600" s="12"/>
      <c r="Q600" s="12"/>
      <c r="R600" s="12"/>
      <c r="S600" s="12"/>
      <c r="T600" s="9" t="s">
        <v>1609</v>
      </c>
      <c r="U600" s="9" t="s">
        <v>1608</v>
      </c>
    </row>
    <row r="601" customFormat="false" ht="15" hidden="false" customHeight="false" outlineLevel="0" collapsed="false">
      <c r="A601" s="7" t="s">
        <v>1312</v>
      </c>
      <c r="B601" s="7" t="s">
        <v>1610</v>
      </c>
      <c r="C601" s="8" t="s">
        <v>1611</v>
      </c>
      <c r="D601" s="7" t="s">
        <v>1612</v>
      </c>
      <c r="E601" s="7" t="n">
        <v>546</v>
      </c>
      <c r="F601" s="9" t="s">
        <v>1613</v>
      </c>
      <c r="G601" s="10" t="s">
        <v>1614</v>
      </c>
      <c r="H601" s="9"/>
      <c r="I601" s="9" t="n">
        <v>1</v>
      </c>
      <c r="J601" s="9" t="n">
        <v>0</v>
      </c>
      <c r="K601" s="11" t="n">
        <v>0</v>
      </c>
      <c r="L601" s="11" t="n">
        <v>1</v>
      </c>
      <c r="M601" s="9" t="n">
        <v>0</v>
      </c>
      <c r="N601" s="11" t="n">
        <v>1</v>
      </c>
      <c r="O601" s="11" t="n">
        <v>0.6</v>
      </c>
      <c r="P601" s="12"/>
      <c r="Q601" s="12"/>
      <c r="R601" s="12"/>
      <c r="S601" s="12"/>
      <c r="T601" s="9" t="s">
        <v>1615</v>
      </c>
      <c r="U601" s="9" t="s">
        <v>1614</v>
      </c>
    </row>
    <row r="602" customFormat="false" ht="15" hidden="false" customHeight="false" outlineLevel="0" collapsed="false">
      <c r="A602" s="7" t="s">
        <v>1312</v>
      </c>
      <c r="B602" s="7" t="s">
        <v>1616</v>
      </c>
      <c r="C602" s="8" t="s">
        <v>299</v>
      </c>
      <c r="D602" s="7" t="s">
        <v>1617</v>
      </c>
      <c r="E602" s="7" t="n">
        <v>81</v>
      </c>
      <c r="F602" s="9" t="s">
        <v>1616</v>
      </c>
      <c r="G602" s="10" t="s">
        <v>1618</v>
      </c>
      <c r="H602" s="9"/>
      <c r="I602" s="9" t="n">
        <v>7</v>
      </c>
      <c r="J602" s="9" t="n">
        <v>50</v>
      </c>
      <c r="K602" s="11" t="n">
        <v>1.389</v>
      </c>
      <c r="L602" s="11" t="n">
        <v>1</v>
      </c>
      <c r="M602" s="9" t="n">
        <v>0</v>
      </c>
      <c r="N602" s="11" t="n">
        <v>1</v>
      </c>
      <c r="O602" s="11" t="n">
        <v>0.7</v>
      </c>
      <c r="P602" s="12"/>
      <c r="Q602" s="12"/>
      <c r="R602" s="12"/>
      <c r="S602" s="12"/>
      <c r="T602" s="9" t="s">
        <v>1619</v>
      </c>
      <c r="U602" s="9" t="s">
        <v>1618</v>
      </c>
    </row>
    <row r="603" customFormat="false" ht="15" hidden="false" customHeight="false" outlineLevel="0" collapsed="false">
      <c r="A603" s="7" t="s">
        <v>1312</v>
      </c>
      <c r="B603" s="7" t="s">
        <v>1620</v>
      </c>
      <c r="C603" s="8" t="s">
        <v>1573</v>
      </c>
      <c r="D603" s="7" t="s">
        <v>1621</v>
      </c>
      <c r="E603" s="7" t="n">
        <v>104</v>
      </c>
      <c r="F603" s="9" t="s">
        <v>1620</v>
      </c>
      <c r="G603" s="10" t="s">
        <v>1622</v>
      </c>
      <c r="H603" s="9" t="s">
        <v>68</v>
      </c>
      <c r="I603" s="9" t="n">
        <v>2</v>
      </c>
      <c r="J603" s="9" t="n">
        <v>39</v>
      </c>
      <c r="K603" s="11" t="n">
        <v>0.487</v>
      </c>
      <c r="L603" s="11" t="n">
        <v>1</v>
      </c>
      <c r="M603" s="9" t="n">
        <v>0.5</v>
      </c>
      <c r="N603" s="11" t="n">
        <v>0.4</v>
      </c>
      <c r="O603" s="11" t="n">
        <v>0.76</v>
      </c>
      <c r="P603" s="12"/>
      <c r="Q603" s="12"/>
      <c r="R603" s="12"/>
      <c r="S603" s="12"/>
      <c r="T603" s="9" t="s">
        <v>1623</v>
      </c>
      <c r="U603" s="9" t="s">
        <v>1622</v>
      </c>
    </row>
    <row r="604" customFormat="false" ht="15" hidden="false" customHeight="false" outlineLevel="0" collapsed="false">
      <c r="A604" s="9"/>
      <c r="B604" s="9"/>
      <c r="C604" s="9"/>
      <c r="D604" s="9"/>
      <c r="E604" s="9"/>
      <c r="F604" s="9" t="s">
        <v>1620</v>
      </c>
      <c r="G604" s="10" t="s">
        <v>1624</v>
      </c>
      <c r="H604" s="9"/>
      <c r="I604" s="9" t="n">
        <v>4</v>
      </c>
      <c r="J604" s="9" t="n">
        <v>21</v>
      </c>
      <c r="K604" s="11" t="n">
        <v>0.263</v>
      </c>
      <c r="L604" s="11" t="n">
        <v>1</v>
      </c>
      <c r="M604" s="9" t="n">
        <v>0</v>
      </c>
      <c r="N604" s="11" t="n">
        <v>0.6</v>
      </c>
      <c r="O604" s="11" t="n">
        <v>0.64</v>
      </c>
      <c r="P604" s="12"/>
      <c r="Q604" s="12"/>
      <c r="R604" s="12"/>
      <c r="S604" s="12"/>
      <c r="T604" s="9" t="s">
        <v>1623</v>
      </c>
      <c r="U604" s="9" t="s">
        <v>1624</v>
      </c>
    </row>
    <row r="605" customFormat="false" ht="15" hidden="false" customHeight="false" outlineLevel="0" collapsed="false">
      <c r="A605" s="9"/>
      <c r="B605" s="9"/>
      <c r="C605" s="9"/>
      <c r="D605" s="9"/>
      <c r="E605" s="9"/>
      <c r="F605" s="9" t="s">
        <v>1620</v>
      </c>
      <c r="G605" s="10" t="s">
        <v>1625</v>
      </c>
      <c r="H605" s="9"/>
      <c r="I605" s="9" t="n">
        <v>1</v>
      </c>
      <c r="J605" s="9" t="n">
        <v>0</v>
      </c>
      <c r="K605" s="11" t="n">
        <v>0</v>
      </c>
      <c r="L605" s="11" t="n">
        <v>1</v>
      </c>
      <c r="M605" s="9" t="n">
        <v>0</v>
      </c>
      <c r="N605" s="11" t="n">
        <v>0.667</v>
      </c>
      <c r="O605" s="11" t="n">
        <v>0.55</v>
      </c>
      <c r="P605" s="12"/>
      <c r="Q605" s="12"/>
      <c r="R605" s="12"/>
      <c r="S605" s="12"/>
      <c r="T605" s="9" t="s">
        <v>1623</v>
      </c>
      <c r="U605" s="9" t="s">
        <v>1625</v>
      </c>
    </row>
    <row r="606" customFormat="false" ht="15" hidden="false" customHeight="false" outlineLevel="0" collapsed="false">
      <c r="A606" s="7" t="s">
        <v>1312</v>
      </c>
      <c r="B606" s="7" t="s">
        <v>1626</v>
      </c>
      <c r="C606" s="8" t="s">
        <v>514</v>
      </c>
      <c r="D606" s="7" t="s">
        <v>1627</v>
      </c>
      <c r="E606" s="7" t="n">
        <v>210</v>
      </c>
      <c r="F606" s="9" t="s">
        <v>1628</v>
      </c>
      <c r="G606" s="10" t="s">
        <v>1629</v>
      </c>
      <c r="H606" s="9"/>
      <c r="I606" s="9" t="n">
        <v>14</v>
      </c>
      <c r="J606" s="9" t="n">
        <v>124</v>
      </c>
      <c r="K606" s="11" t="n">
        <v>0.59</v>
      </c>
      <c r="L606" s="11" t="n">
        <v>1</v>
      </c>
      <c r="M606" s="9" t="n">
        <v>0.5</v>
      </c>
      <c r="N606" s="11" t="n">
        <v>0.75</v>
      </c>
      <c r="O606" s="11" t="n">
        <v>0.812</v>
      </c>
      <c r="P606" s="12"/>
      <c r="Q606" s="12"/>
      <c r="R606" s="12"/>
      <c r="S606" s="12"/>
      <c r="T606" s="9" t="s">
        <v>1630</v>
      </c>
      <c r="U606" s="9" t="s">
        <v>1629</v>
      </c>
    </row>
    <row r="607" customFormat="false" ht="15" hidden="false" customHeight="false" outlineLevel="0" collapsed="false">
      <c r="A607" s="7" t="s">
        <v>1312</v>
      </c>
      <c r="B607" s="7" t="s">
        <v>1631</v>
      </c>
      <c r="C607" s="8" t="s">
        <v>1632</v>
      </c>
      <c r="D607" s="7" t="s">
        <v>1168</v>
      </c>
      <c r="E607" s="7" t="n">
        <v>11</v>
      </c>
      <c r="F607" s="9" t="s">
        <v>1633</v>
      </c>
      <c r="G607" s="10" t="s">
        <v>1634</v>
      </c>
      <c r="H607" s="9"/>
      <c r="I607" s="9" t="n">
        <v>1</v>
      </c>
      <c r="J607" s="9" t="n">
        <v>0</v>
      </c>
      <c r="K607" s="11" t="n">
        <v>0</v>
      </c>
      <c r="L607" s="11" t="n">
        <v>1</v>
      </c>
      <c r="M607" s="9" t="n">
        <v>0</v>
      </c>
      <c r="N607" s="11" t="n">
        <v>1</v>
      </c>
      <c r="O607" s="11" t="n">
        <v>0.6</v>
      </c>
      <c r="P607" s="12"/>
      <c r="Q607" s="12"/>
      <c r="R607" s="12"/>
      <c r="S607" s="12"/>
      <c r="T607" s="9" t="s">
        <v>1635</v>
      </c>
      <c r="U607" s="9" t="s">
        <v>1634</v>
      </c>
    </row>
    <row r="608" customFormat="false" ht="15" hidden="false" customHeight="false" outlineLevel="0" collapsed="false">
      <c r="A608" s="7" t="s">
        <v>1312</v>
      </c>
      <c r="B608" s="7" t="s">
        <v>1636</v>
      </c>
      <c r="C608" s="8" t="s">
        <v>1304</v>
      </c>
      <c r="D608" s="7" t="s">
        <v>1637</v>
      </c>
      <c r="E608" s="7" t="n">
        <v>1686</v>
      </c>
      <c r="F608" s="9" t="s">
        <v>1636</v>
      </c>
      <c r="G608" s="10" t="s">
        <v>1638</v>
      </c>
      <c r="H608" s="9" t="s">
        <v>1639</v>
      </c>
      <c r="I608" s="9" t="n">
        <v>68</v>
      </c>
      <c r="J608" s="9" t="n">
        <v>1556</v>
      </c>
      <c r="K608" s="11" t="n">
        <v>0.98</v>
      </c>
      <c r="L608" s="11" t="n">
        <v>1</v>
      </c>
      <c r="M608" s="9" t="n">
        <v>0</v>
      </c>
      <c r="N608" s="11" t="n">
        <v>0.786</v>
      </c>
      <c r="O608" s="11" t="n">
        <v>0.668</v>
      </c>
      <c r="P608" s="12"/>
      <c r="Q608" s="12"/>
      <c r="R608" s="12"/>
      <c r="S608" s="12"/>
      <c r="T608" s="9" t="s">
        <v>1640</v>
      </c>
      <c r="U608" s="9" t="s">
        <v>1638</v>
      </c>
    </row>
    <row r="609" customFormat="false" ht="15" hidden="false" customHeight="false" outlineLevel="0" collapsed="false">
      <c r="A609" s="9"/>
      <c r="B609" s="9"/>
      <c r="C609" s="9"/>
      <c r="D609" s="9"/>
      <c r="E609" s="9"/>
      <c r="F609" s="9" t="s">
        <v>1636</v>
      </c>
      <c r="G609" s="10" t="s">
        <v>1641</v>
      </c>
      <c r="H609" s="9"/>
      <c r="I609" s="9" t="n">
        <v>122</v>
      </c>
      <c r="J609" s="9" t="n">
        <v>1813</v>
      </c>
      <c r="K609" s="11" t="n">
        <v>1.142</v>
      </c>
      <c r="L609" s="11" t="n">
        <v>1</v>
      </c>
      <c r="M609" s="9" t="n">
        <v>0</v>
      </c>
      <c r="N609" s="11" t="n">
        <v>0.163</v>
      </c>
      <c r="O609" s="11" t="n">
        <v>0.574</v>
      </c>
      <c r="P609" s="12"/>
      <c r="Q609" s="12"/>
      <c r="R609" s="12"/>
      <c r="S609" s="12"/>
      <c r="T609" s="9" t="s">
        <v>1640</v>
      </c>
      <c r="U609" s="9" t="s">
        <v>1641</v>
      </c>
    </row>
    <row r="610" customFormat="false" ht="15" hidden="false" customHeight="false" outlineLevel="0" collapsed="false">
      <c r="A610" s="9"/>
      <c r="B610" s="9"/>
      <c r="C610" s="9"/>
      <c r="D610" s="9"/>
      <c r="E610" s="9"/>
      <c r="F610" s="9" t="s">
        <v>1642</v>
      </c>
      <c r="G610" s="10" t="s">
        <v>1643</v>
      </c>
      <c r="H610" s="9" t="s">
        <v>1644</v>
      </c>
      <c r="I610" s="9" t="n">
        <v>124</v>
      </c>
      <c r="J610" s="9" t="n">
        <v>6919</v>
      </c>
      <c r="K610" s="11" t="n">
        <v>4.357</v>
      </c>
      <c r="L610" s="11" t="n">
        <v>1</v>
      </c>
      <c r="M610" s="9" t="n">
        <v>0</v>
      </c>
      <c r="N610" s="11" t="n">
        <v>0.813</v>
      </c>
      <c r="O610" s="11" t="n">
        <v>0.572</v>
      </c>
      <c r="P610" s="12"/>
      <c r="Q610" s="12"/>
      <c r="R610" s="12"/>
      <c r="S610" s="12"/>
      <c r="T610" s="9" t="s">
        <v>1640</v>
      </c>
      <c r="U610" s="9" t="s">
        <v>1643</v>
      </c>
    </row>
    <row r="611" customFormat="false" ht="15" hidden="false" customHeight="false" outlineLevel="0" collapsed="false">
      <c r="A611" s="9"/>
      <c r="B611" s="9"/>
      <c r="C611" s="9"/>
      <c r="D611" s="9"/>
      <c r="E611" s="9"/>
      <c r="F611" s="9" t="s">
        <v>1636</v>
      </c>
      <c r="G611" s="10" t="s">
        <v>1645</v>
      </c>
      <c r="H611" s="9"/>
      <c r="I611" s="9" t="n">
        <v>95</v>
      </c>
      <c r="J611" s="9" t="n">
        <v>2345</v>
      </c>
      <c r="K611" s="11" t="n">
        <v>1.477</v>
      </c>
      <c r="L611" s="11" t="n">
        <v>1</v>
      </c>
      <c r="M611" s="9" t="n">
        <v>0</v>
      </c>
      <c r="N611" s="11" t="n">
        <v>0</v>
      </c>
      <c r="O611" s="11" t="n">
        <v>0.55</v>
      </c>
      <c r="P611" s="12"/>
      <c r="Q611" s="12"/>
      <c r="R611" s="12"/>
      <c r="S611" s="12"/>
      <c r="T611" s="9" t="s">
        <v>1640</v>
      </c>
      <c r="U611" s="9" t="s">
        <v>1645</v>
      </c>
    </row>
    <row r="612" customFormat="false" ht="15" hidden="false" customHeight="false" outlineLevel="0" collapsed="false">
      <c r="A612" s="9"/>
      <c r="B612" s="9"/>
      <c r="C612" s="9"/>
      <c r="D612" s="9"/>
      <c r="E612" s="9"/>
      <c r="F612" s="9" t="s">
        <v>1636</v>
      </c>
      <c r="G612" s="10" t="s">
        <v>1646</v>
      </c>
      <c r="H612" s="9" t="s">
        <v>1647</v>
      </c>
      <c r="I612" s="9" t="n">
        <v>74</v>
      </c>
      <c r="J612" s="9" t="n">
        <v>2081</v>
      </c>
      <c r="K612" s="11" t="n">
        <v>1.31</v>
      </c>
      <c r="L612" s="11" t="n">
        <v>1</v>
      </c>
      <c r="M612" s="9" t="n">
        <v>0</v>
      </c>
      <c r="N612" s="11" t="n">
        <v>0</v>
      </c>
      <c r="O612" s="11" t="n">
        <v>0.55</v>
      </c>
      <c r="P612" s="12"/>
      <c r="Q612" s="12"/>
      <c r="R612" s="12"/>
      <c r="S612" s="12"/>
      <c r="T612" s="9" t="s">
        <v>1640</v>
      </c>
      <c r="U612" s="9" t="s">
        <v>1646</v>
      </c>
    </row>
    <row r="613" customFormat="false" ht="15" hidden="false" customHeight="false" outlineLevel="0" collapsed="false">
      <c r="A613" s="7" t="s">
        <v>1312</v>
      </c>
      <c r="B613" s="7" t="s">
        <v>1648</v>
      </c>
      <c r="C613" s="8" t="s">
        <v>962</v>
      </c>
      <c r="D613" s="7" t="s">
        <v>1649</v>
      </c>
      <c r="E613" s="7" t="n">
        <v>31</v>
      </c>
      <c r="F613" s="9" t="s">
        <v>1648</v>
      </c>
      <c r="G613" s="10" t="s">
        <v>1650</v>
      </c>
      <c r="H613" s="9"/>
      <c r="I613" s="9" t="n">
        <v>4</v>
      </c>
      <c r="J613" s="9" t="n">
        <v>1</v>
      </c>
      <c r="K613" s="11" t="n">
        <v>0.043</v>
      </c>
      <c r="L613" s="11" t="n">
        <v>1</v>
      </c>
      <c r="M613" s="9" t="n">
        <v>0</v>
      </c>
      <c r="N613" s="11" t="n">
        <v>1</v>
      </c>
      <c r="O613" s="11" t="n">
        <v>0.65</v>
      </c>
      <c r="P613" s="12"/>
      <c r="Q613" s="12"/>
      <c r="R613" s="12"/>
      <c r="S613" s="12"/>
      <c r="T613" s="9" t="s">
        <v>1651</v>
      </c>
      <c r="U613" s="9" t="s">
        <v>1650</v>
      </c>
    </row>
    <row r="614" customFormat="false" ht="15" hidden="false" customHeight="false" outlineLevel="0" collapsed="false">
      <c r="A614" s="9"/>
      <c r="B614" s="9"/>
      <c r="C614" s="9"/>
      <c r="D614" s="9"/>
      <c r="E614" s="9"/>
      <c r="F614" s="9" t="s">
        <v>1652</v>
      </c>
      <c r="G614" s="10" t="s">
        <v>1653</v>
      </c>
      <c r="H614" s="9"/>
      <c r="I614" s="9" t="n">
        <v>1</v>
      </c>
      <c r="J614" s="9" t="n">
        <v>0</v>
      </c>
      <c r="K614" s="11" t="n">
        <v>0</v>
      </c>
      <c r="L614" s="11" t="n">
        <v>1</v>
      </c>
      <c r="M614" s="9" t="n">
        <v>0</v>
      </c>
      <c r="N614" s="11" t="n">
        <v>1</v>
      </c>
      <c r="O614" s="11" t="n">
        <v>0.6</v>
      </c>
      <c r="P614" s="12"/>
      <c r="Q614" s="12"/>
      <c r="R614" s="12"/>
      <c r="S614" s="12"/>
      <c r="T614" s="9" t="s">
        <v>1651</v>
      </c>
      <c r="U614" s="9" t="s">
        <v>1653</v>
      </c>
    </row>
    <row r="615" customFormat="false" ht="15" hidden="false" customHeight="false" outlineLevel="0" collapsed="false">
      <c r="A615" s="9"/>
      <c r="B615" s="9"/>
      <c r="C615" s="9"/>
      <c r="D615" s="9"/>
      <c r="E615" s="9"/>
      <c r="F615" s="9" t="s">
        <v>1648</v>
      </c>
      <c r="G615" s="10" t="s">
        <v>1654</v>
      </c>
      <c r="H615" s="9" t="s">
        <v>1655</v>
      </c>
      <c r="I615" s="9" t="n">
        <v>3</v>
      </c>
      <c r="J615" s="9" t="n">
        <v>1</v>
      </c>
      <c r="K615" s="11" t="n">
        <v>0.043</v>
      </c>
      <c r="L615" s="11" t="n">
        <v>1</v>
      </c>
      <c r="M615" s="9" t="n">
        <v>0</v>
      </c>
      <c r="N615" s="11" t="n">
        <v>0.571</v>
      </c>
      <c r="O615" s="11" t="n">
        <v>0.586</v>
      </c>
      <c r="P615" s="12"/>
      <c r="Q615" s="12"/>
      <c r="R615" s="12"/>
      <c r="S615" s="12"/>
      <c r="T615" s="9" t="s">
        <v>1651</v>
      </c>
      <c r="U615" s="9" t="s">
        <v>1654</v>
      </c>
    </row>
    <row r="616" customFormat="false" ht="15" hidden="false" customHeight="false" outlineLevel="0" collapsed="false">
      <c r="A616" s="9"/>
      <c r="B616" s="9"/>
      <c r="C616" s="9"/>
      <c r="D616" s="9"/>
      <c r="E616" s="9"/>
      <c r="F616" s="9" t="s">
        <v>1656</v>
      </c>
      <c r="G616" s="10" t="s">
        <v>1657</v>
      </c>
      <c r="H616" s="9" t="s">
        <v>589</v>
      </c>
      <c r="I616" s="9" t="n">
        <v>1</v>
      </c>
      <c r="J616" s="9" t="n">
        <v>2</v>
      </c>
      <c r="K616" s="11" t="n">
        <v>0.087</v>
      </c>
      <c r="L616" s="11" t="n">
        <v>1</v>
      </c>
      <c r="M616" s="9" t="n">
        <v>0</v>
      </c>
      <c r="N616" s="11" t="n">
        <v>0</v>
      </c>
      <c r="O616" s="11" t="n">
        <v>0.5</v>
      </c>
      <c r="P616" s="12"/>
      <c r="Q616" s="12"/>
      <c r="R616" s="12"/>
      <c r="S616" s="12"/>
      <c r="T616" s="9" t="s">
        <v>1651</v>
      </c>
      <c r="U616" s="9" t="s">
        <v>1657</v>
      </c>
    </row>
    <row r="617" customFormat="false" ht="15" hidden="false" customHeight="false" outlineLevel="0" collapsed="false">
      <c r="A617" s="7" t="s">
        <v>1312</v>
      </c>
      <c r="B617" s="7" t="s">
        <v>1658</v>
      </c>
      <c r="C617" s="8" t="s">
        <v>1560</v>
      </c>
      <c r="D617" s="7" t="s">
        <v>1659</v>
      </c>
      <c r="E617" s="7" t="n">
        <v>335</v>
      </c>
      <c r="F617" s="9" t="s">
        <v>1658</v>
      </c>
      <c r="G617" s="10" t="s">
        <v>1660</v>
      </c>
      <c r="H617" s="9" t="s">
        <v>1661</v>
      </c>
      <c r="I617" s="9" t="n">
        <v>5</v>
      </c>
      <c r="J617" s="9" t="n">
        <v>1</v>
      </c>
      <c r="K617" s="11" t="n">
        <v>0.004</v>
      </c>
      <c r="L617" s="11" t="n">
        <v>1</v>
      </c>
      <c r="M617" s="9" t="n">
        <v>0</v>
      </c>
      <c r="N617" s="11" t="n">
        <v>1</v>
      </c>
      <c r="O617" s="11" t="n">
        <v>0.6</v>
      </c>
      <c r="P617" s="12"/>
      <c r="Q617" s="12"/>
      <c r="R617" s="12"/>
      <c r="S617" s="12"/>
      <c r="T617" s="9" t="s">
        <v>1662</v>
      </c>
      <c r="U617" s="9" t="s">
        <v>1660</v>
      </c>
    </row>
    <row r="618" customFormat="false" ht="15" hidden="false" customHeight="false" outlineLevel="0" collapsed="false">
      <c r="A618" s="9"/>
      <c r="B618" s="9"/>
      <c r="C618" s="9"/>
      <c r="D618" s="9"/>
      <c r="E618" s="9"/>
      <c r="F618" s="9" t="s">
        <v>1663</v>
      </c>
      <c r="G618" s="10" t="s">
        <v>1664</v>
      </c>
      <c r="H618" s="9" t="s">
        <v>1661</v>
      </c>
      <c r="I618" s="9" t="n">
        <v>1</v>
      </c>
      <c r="J618" s="9" t="n">
        <v>0</v>
      </c>
      <c r="K618" s="11" t="n">
        <v>0</v>
      </c>
      <c r="L618" s="11" t="n">
        <v>1</v>
      </c>
      <c r="M618" s="9" t="n">
        <v>0</v>
      </c>
      <c r="N618" s="11" t="n">
        <v>1</v>
      </c>
      <c r="O618" s="11" t="n">
        <v>0.6</v>
      </c>
      <c r="P618" s="12"/>
      <c r="Q618" s="12"/>
      <c r="R618" s="12"/>
      <c r="S618" s="12"/>
      <c r="T618" s="9" t="s">
        <v>1662</v>
      </c>
      <c r="U618" s="9" t="s">
        <v>1664</v>
      </c>
    </row>
    <row r="619" customFormat="false" ht="15" hidden="false" customHeight="false" outlineLevel="0" collapsed="false">
      <c r="A619" s="9"/>
      <c r="B619" s="9"/>
      <c r="C619" s="9"/>
      <c r="D619" s="9"/>
      <c r="E619" s="9"/>
      <c r="F619" s="9" t="s">
        <v>1665</v>
      </c>
      <c r="G619" s="10" t="s">
        <v>1666</v>
      </c>
      <c r="H619" s="9" t="s">
        <v>1661</v>
      </c>
      <c r="I619" s="9" t="n">
        <v>1</v>
      </c>
      <c r="J619" s="9" t="n">
        <v>0</v>
      </c>
      <c r="K619" s="11" t="n">
        <v>0</v>
      </c>
      <c r="L619" s="11" t="n">
        <v>1</v>
      </c>
      <c r="M619" s="9" t="n">
        <v>0</v>
      </c>
      <c r="N619" s="11" t="n">
        <v>0.667</v>
      </c>
      <c r="O619" s="11" t="n">
        <v>0.55</v>
      </c>
      <c r="P619" s="12"/>
      <c r="Q619" s="12"/>
      <c r="R619" s="12"/>
      <c r="S619" s="12"/>
      <c r="T619" s="9" t="s">
        <v>1662</v>
      </c>
      <c r="U619" s="9" t="s">
        <v>1666</v>
      </c>
    </row>
    <row r="620" customFormat="false" ht="15" hidden="false" customHeight="false" outlineLevel="0" collapsed="false">
      <c r="A620" s="9"/>
      <c r="B620" s="9"/>
      <c r="C620" s="9"/>
      <c r="D620" s="9"/>
      <c r="E620" s="9"/>
      <c r="F620" s="9" t="s">
        <v>1667</v>
      </c>
      <c r="G620" s="10" t="s">
        <v>1668</v>
      </c>
      <c r="H620" s="9"/>
      <c r="I620" s="9" t="n">
        <v>1</v>
      </c>
      <c r="J620" s="9" t="n">
        <v>0</v>
      </c>
      <c r="K620" s="11" t="n">
        <v>0</v>
      </c>
      <c r="L620" s="11" t="n">
        <v>0.773</v>
      </c>
      <c r="M620" s="9" t="n">
        <v>0</v>
      </c>
      <c r="N620" s="11" t="n">
        <v>1</v>
      </c>
      <c r="O620" s="11" t="n">
        <v>0.498</v>
      </c>
      <c r="P620" s="12"/>
      <c r="Q620" s="12"/>
      <c r="R620" s="12"/>
      <c r="S620" s="12"/>
      <c r="T620" s="9" t="s">
        <v>1662</v>
      </c>
      <c r="U620" s="9" t="s">
        <v>1668</v>
      </c>
    </row>
    <row r="621" customFormat="false" ht="15" hidden="false" customHeight="false" outlineLevel="0" collapsed="false">
      <c r="A621" s="7" t="s">
        <v>1312</v>
      </c>
      <c r="B621" s="7" t="s">
        <v>1669</v>
      </c>
      <c r="C621" s="8" t="s">
        <v>1632</v>
      </c>
      <c r="D621" s="7" t="s">
        <v>1670</v>
      </c>
      <c r="E621" s="7" t="n">
        <v>13</v>
      </c>
      <c r="F621" s="9" t="s">
        <v>1671</v>
      </c>
      <c r="G621" s="10" t="s">
        <v>1672</v>
      </c>
      <c r="H621" s="9"/>
      <c r="I621" s="9" t="n">
        <v>1</v>
      </c>
      <c r="J621" s="9" t="n">
        <v>0</v>
      </c>
      <c r="K621" s="11" t="n">
        <v>0</v>
      </c>
      <c r="L621" s="11" t="n">
        <v>1</v>
      </c>
      <c r="M621" s="9" t="n">
        <v>0</v>
      </c>
      <c r="N621" s="11" t="n">
        <v>1</v>
      </c>
      <c r="O621" s="11" t="n">
        <v>0.6</v>
      </c>
      <c r="P621" s="12"/>
      <c r="Q621" s="12"/>
      <c r="R621" s="12"/>
      <c r="S621" s="12"/>
      <c r="T621" s="9" t="s">
        <v>1673</v>
      </c>
      <c r="U621" s="9" t="s">
        <v>1672</v>
      </c>
    </row>
    <row r="622" customFormat="false" ht="15" hidden="false" customHeight="false" outlineLevel="0" collapsed="false">
      <c r="A622" s="9"/>
      <c r="B622" s="9"/>
      <c r="C622" s="9"/>
      <c r="D622" s="9"/>
      <c r="E622" s="9"/>
      <c r="F622" s="9" t="s">
        <v>1674</v>
      </c>
      <c r="G622" s="10" t="s">
        <v>1675</v>
      </c>
      <c r="H622" s="9"/>
      <c r="I622" s="9" t="n">
        <v>1</v>
      </c>
      <c r="J622" s="9" t="n">
        <v>0</v>
      </c>
      <c r="K622" s="11" t="n">
        <v>0</v>
      </c>
      <c r="L622" s="11" t="n">
        <v>1</v>
      </c>
      <c r="M622" s="9" t="n">
        <v>0</v>
      </c>
      <c r="N622" s="11" t="n">
        <v>1</v>
      </c>
      <c r="O622" s="11" t="n">
        <v>0.6</v>
      </c>
      <c r="P622" s="12"/>
      <c r="Q622" s="12"/>
      <c r="R622" s="12"/>
      <c r="S622" s="12"/>
      <c r="T622" s="9" t="s">
        <v>1673</v>
      </c>
      <c r="U622" s="9" t="s">
        <v>1675</v>
      </c>
    </row>
    <row r="623" customFormat="false" ht="15" hidden="false" customHeight="false" outlineLevel="0" collapsed="false">
      <c r="A623" s="7" t="s">
        <v>1312</v>
      </c>
      <c r="B623" s="7" t="s">
        <v>1676</v>
      </c>
      <c r="C623" s="8" t="s">
        <v>845</v>
      </c>
      <c r="D623" s="7" t="s">
        <v>1677</v>
      </c>
      <c r="E623" s="7" t="n">
        <v>200</v>
      </c>
      <c r="F623" s="9" t="s">
        <v>1676</v>
      </c>
      <c r="G623" s="10" t="s">
        <v>1678</v>
      </c>
      <c r="H623" s="9" t="s">
        <v>428</v>
      </c>
      <c r="I623" s="9" t="n">
        <v>12</v>
      </c>
      <c r="J623" s="9" t="n">
        <v>125</v>
      </c>
      <c r="K623" s="11" t="n">
        <v>0.786</v>
      </c>
      <c r="L623" s="11" t="n">
        <v>1</v>
      </c>
      <c r="M623" s="9" t="n">
        <v>0</v>
      </c>
      <c r="N623" s="11" t="n">
        <v>1</v>
      </c>
      <c r="O623" s="11" t="n">
        <v>0.7</v>
      </c>
      <c r="P623" s="12"/>
      <c r="Q623" s="12"/>
      <c r="R623" s="12"/>
      <c r="S623" s="12"/>
      <c r="T623" s="9" t="s">
        <v>1679</v>
      </c>
      <c r="U623" s="9" t="s">
        <v>1678</v>
      </c>
    </row>
    <row r="624" customFormat="false" ht="15" hidden="false" customHeight="false" outlineLevel="0" collapsed="false">
      <c r="A624" s="7" t="s">
        <v>1312</v>
      </c>
      <c r="B624" s="7" t="s">
        <v>1680</v>
      </c>
      <c r="C624" s="8" t="s">
        <v>1681</v>
      </c>
      <c r="D624" s="7" t="s">
        <v>1682</v>
      </c>
      <c r="E624" s="7" t="n">
        <v>140</v>
      </c>
      <c r="F624" s="9" t="s">
        <v>1680</v>
      </c>
      <c r="G624" s="10" t="s">
        <v>1683</v>
      </c>
      <c r="H624" s="9" t="s">
        <v>1684</v>
      </c>
      <c r="I624" s="9" t="n">
        <v>11</v>
      </c>
      <c r="J624" s="9" t="n">
        <v>114</v>
      </c>
      <c r="K624" s="11" t="n">
        <v>0.814</v>
      </c>
      <c r="L624" s="11" t="n">
        <v>1</v>
      </c>
      <c r="M624" s="9" t="n">
        <v>0</v>
      </c>
      <c r="N624" s="11" t="n">
        <v>0.714</v>
      </c>
      <c r="O624" s="11" t="n">
        <v>0.657</v>
      </c>
      <c r="P624" s="12"/>
      <c r="Q624" s="12"/>
      <c r="R624" s="12"/>
      <c r="S624" s="12"/>
      <c r="T624" s="9" t="s">
        <v>1685</v>
      </c>
      <c r="U624" s="9" t="s">
        <v>1683</v>
      </c>
    </row>
    <row r="625" customFormat="false" ht="15" hidden="false" customHeight="false" outlineLevel="0" collapsed="false">
      <c r="A625" s="7" t="s">
        <v>1312</v>
      </c>
      <c r="B625" s="7" t="s">
        <v>1686</v>
      </c>
      <c r="C625" s="8" t="s">
        <v>845</v>
      </c>
      <c r="D625" s="7" t="s">
        <v>1687</v>
      </c>
      <c r="E625" s="7" t="n">
        <v>131</v>
      </c>
      <c r="F625" s="9" t="s">
        <v>1686</v>
      </c>
      <c r="G625" s="10" t="s">
        <v>1688</v>
      </c>
      <c r="H625" s="9"/>
      <c r="I625" s="9" t="n">
        <v>5</v>
      </c>
      <c r="J625" s="9" t="n">
        <v>57</v>
      </c>
      <c r="K625" s="11" t="n">
        <v>0.463</v>
      </c>
      <c r="L625" s="11" t="n">
        <v>1</v>
      </c>
      <c r="M625" s="9" t="n">
        <v>0.5</v>
      </c>
      <c r="N625" s="11" t="n">
        <v>1</v>
      </c>
      <c r="O625" s="11" t="n">
        <v>0.85</v>
      </c>
      <c r="P625" s="12"/>
      <c r="Q625" s="12"/>
      <c r="R625" s="12"/>
      <c r="S625" s="12"/>
      <c r="T625" s="9" t="s">
        <v>1689</v>
      </c>
      <c r="U625" s="9" t="s">
        <v>1688</v>
      </c>
    </row>
    <row r="626" customFormat="false" ht="15" hidden="false" customHeight="false" outlineLevel="0" collapsed="false">
      <c r="A626" s="9"/>
      <c r="B626" s="9"/>
      <c r="C626" s="9"/>
      <c r="D626" s="9"/>
      <c r="E626" s="9"/>
      <c r="F626" s="9" t="s">
        <v>1686</v>
      </c>
      <c r="G626" s="10" t="s">
        <v>1690</v>
      </c>
      <c r="H626" s="9"/>
      <c r="I626" s="9" t="n">
        <v>3</v>
      </c>
      <c r="J626" s="9" t="n">
        <v>3</v>
      </c>
      <c r="K626" s="11" t="n">
        <v>0.024</v>
      </c>
      <c r="L626" s="11" t="n">
        <v>1</v>
      </c>
      <c r="M626" s="9" t="n">
        <v>0</v>
      </c>
      <c r="N626" s="11" t="n">
        <v>1</v>
      </c>
      <c r="O626" s="11" t="n">
        <v>0.6</v>
      </c>
      <c r="P626" s="12"/>
      <c r="Q626" s="12"/>
      <c r="R626" s="12"/>
      <c r="S626" s="12"/>
      <c r="T626" s="9" t="s">
        <v>1689</v>
      </c>
      <c r="U626" s="9" t="s">
        <v>1690</v>
      </c>
    </row>
    <row r="627" customFormat="false" ht="15" hidden="false" customHeight="false" outlineLevel="0" collapsed="false">
      <c r="A627" s="7" t="s">
        <v>1312</v>
      </c>
      <c r="B627" s="7" t="s">
        <v>1691</v>
      </c>
      <c r="C627" s="8" t="s">
        <v>1314</v>
      </c>
      <c r="D627" s="7" t="s">
        <v>1692</v>
      </c>
      <c r="E627" s="7" t="n">
        <v>1</v>
      </c>
      <c r="F627" s="9" t="s">
        <v>1691</v>
      </c>
      <c r="G627" s="10" t="s">
        <v>1693</v>
      </c>
      <c r="H627" s="9"/>
      <c r="I627" s="9" t="n">
        <v>1</v>
      </c>
      <c r="J627" s="9" t="n">
        <v>0</v>
      </c>
      <c r="K627" s="11" t="n">
        <v>0</v>
      </c>
      <c r="L627" s="11" t="n">
        <v>1</v>
      </c>
      <c r="M627" s="9" t="n">
        <v>0</v>
      </c>
      <c r="N627" s="11" t="n">
        <v>1</v>
      </c>
      <c r="O627" s="11" t="n">
        <v>0.6</v>
      </c>
      <c r="P627" s="12"/>
      <c r="Q627" s="12"/>
      <c r="R627" s="12"/>
      <c r="S627" s="12"/>
      <c r="T627" s="9" t="s">
        <v>1694</v>
      </c>
      <c r="U627" s="9" t="s">
        <v>1693</v>
      </c>
    </row>
    <row r="628" customFormat="false" ht="15" hidden="false" customHeight="false" outlineLevel="0" collapsed="false">
      <c r="A628" s="7" t="s">
        <v>1312</v>
      </c>
      <c r="B628" s="7" t="s">
        <v>1695</v>
      </c>
      <c r="C628" s="8" t="s">
        <v>92</v>
      </c>
      <c r="D628" s="7" t="s">
        <v>1696</v>
      </c>
      <c r="E628" s="7" t="n">
        <v>3843</v>
      </c>
      <c r="F628" s="9" t="s">
        <v>1695</v>
      </c>
      <c r="G628" s="10" t="s">
        <v>1697</v>
      </c>
      <c r="H628" s="9"/>
      <c r="I628" s="9" t="n">
        <v>1</v>
      </c>
      <c r="J628" s="9" t="n">
        <v>0</v>
      </c>
      <c r="K628" s="11" t="n">
        <v>0</v>
      </c>
      <c r="L628" s="11" t="n">
        <v>1</v>
      </c>
      <c r="M628" s="9" t="n">
        <v>0</v>
      </c>
      <c r="N628" s="11" t="n">
        <v>0.667</v>
      </c>
      <c r="O628" s="11" t="n">
        <v>0.55</v>
      </c>
      <c r="P628" s="12"/>
      <c r="Q628" s="12"/>
      <c r="R628" s="12"/>
      <c r="S628" s="12"/>
      <c r="T628" s="9" t="s">
        <v>1698</v>
      </c>
      <c r="U628" s="9" t="s">
        <v>1697</v>
      </c>
    </row>
    <row r="629" customFormat="false" ht="15" hidden="false" customHeight="false" outlineLevel="0" collapsed="false">
      <c r="A629" s="7" t="s">
        <v>1312</v>
      </c>
      <c r="B629" s="7" t="s">
        <v>1699</v>
      </c>
      <c r="C629" s="8" t="s">
        <v>268</v>
      </c>
      <c r="D629" s="7" t="s">
        <v>1700</v>
      </c>
      <c r="E629" s="7" t="n">
        <v>432</v>
      </c>
      <c r="F629" s="9" t="s">
        <v>1699</v>
      </c>
      <c r="G629" s="10" t="s">
        <v>1701</v>
      </c>
      <c r="H629" s="9" t="s">
        <v>329</v>
      </c>
      <c r="I629" s="9" t="n">
        <v>25</v>
      </c>
      <c r="J629" s="9" t="n">
        <v>242</v>
      </c>
      <c r="K629" s="11" t="n">
        <v>0.682</v>
      </c>
      <c r="L629" s="11" t="n">
        <v>1</v>
      </c>
      <c r="M629" s="9" t="n">
        <v>0</v>
      </c>
      <c r="N629" s="11" t="n">
        <v>1</v>
      </c>
      <c r="O629" s="11" t="n">
        <v>0.7</v>
      </c>
      <c r="P629" s="12"/>
      <c r="Q629" s="12"/>
      <c r="R629" s="12"/>
      <c r="S629" s="12"/>
      <c r="T629" s="9" t="s">
        <v>1702</v>
      </c>
      <c r="U629" s="9" t="s">
        <v>1701</v>
      </c>
    </row>
    <row r="630" customFormat="false" ht="15" hidden="false" customHeight="false" outlineLevel="0" collapsed="false">
      <c r="A630" s="7" t="s">
        <v>1312</v>
      </c>
      <c r="B630" s="7" t="s">
        <v>1703</v>
      </c>
      <c r="C630" s="8" t="s">
        <v>695</v>
      </c>
      <c r="D630" s="7" t="s">
        <v>1704</v>
      </c>
      <c r="E630" s="7" t="n">
        <v>15120</v>
      </c>
      <c r="F630" s="9" t="s">
        <v>1703</v>
      </c>
      <c r="G630" s="10" t="s">
        <v>1705</v>
      </c>
      <c r="H630" s="9" t="s">
        <v>1706</v>
      </c>
      <c r="I630" s="9" t="n">
        <v>198</v>
      </c>
      <c r="J630" s="9" t="n">
        <v>6461</v>
      </c>
      <c r="K630" s="11" t="n">
        <v>0.456</v>
      </c>
      <c r="L630" s="11" t="n">
        <v>1</v>
      </c>
      <c r="M630" s="9" t="n">
        <v>0.5</v>
      </c>
      <c r="N630" s="11" t="n">
        <v>0.756</v>
      </c>
      <c r="O630" s="11" t="n">
        <v>0.813</v>
      </c>
      <c r="P630" s="12"/>
      <c r="Q630" s="12"/>
      <c r="R630" s="12"/>
      <c r="S630" s="12"/>
      <c r="T630" s="9" t="s">
        <v>1707</v>
      </c>
      <c r="U630" s="9" t="s">
        <v>1705</v>
      </c>
    </row>
    <row r="631" customFormat="false" ht="15" hidden="false" customHeight="false" outlineLevel="0" collapsed="false">
      <c r="A631" s="9"/>
      <c r="B631" s="9"/>
      <c r="C631" s="9"/>
      <c r="D631" s="9"/>
      <c r="E631" s="9"/>
      <c r="F631" s="9" t="s">
        <v>1703</v>
      </c>
      <c r="G631" s="10" t="s">
        <v>1708</v>
      </c>
      <c r="H631" s="9"/>
      <c r="I631" s="9" t="n">
        <v>2</v>
      </c>
      <c r="J631" s="9" t="n">
        <v>0</v>
      </c>
      <c r="K631" s="11" t="n">
        <v>0</v>
      </c>
      <c r="L631" s="11" t="n">
        <v>1</v>
      </c>
      <c r="M631" s="9" t="n">
        <v>0</v>
      </c>
      <c r="N631" s="11" t="n">
        <v>1</v>
      </c>
      <c r="O631" s="11" t="n">
        <v>0.6</v>
      </c>
      <c r="P631" s="12"/>
      <c r="Q631" s="12"/>
      <c r="R631" s="12"/>
      <c r="S631" s="12"/>
      <c r="T631" s="9" t="s">
        <v>1707</v>
      </c>
      <c r="U631" s="9" t="s">
        <v>1708</v>
      </c>
    </row>
    <row r="632" customFormat="false" ht="15" hidden="false" customHeight="false" outlineLevel="0" collapsed="false">
      <c r="A632" s="9"/>
      <c r="B632" s="9"/>
      <c r="C632" s="9"/>
      <c r="D632" s="9"/>
      <c r="E632" s="9"/>
      <c r="F632" s="9" t="s">
        <v>1703</v>
      </c>
      <c r="G632" s="10" t="s">
        <v>1709</v>
      </c>
      <c r="H632" s="9"/>
      <c r="I632" s="9" t="n">
        <v>1</v>
      </c>
      <c r="J632" s="9" t="n">
        <v>0</v>
      </c>
      <c r="K632" s="11" t="n">
        <v>0</v>
      </c>
      <c r="L632" s="11" t="n">
        <v>1</v>
      </c>
      <c r="M632" s="9" t="n">
        <v>0</v>
      </c>
      <c r="N632" s="11" t="n">
        <v>1</v>
      </c>
      <c r="O632" s="11" t="n">
        <v>0.6</v>
      </c>
      <c r="P632" s="12"/>
      <c r="Q632" s="12"/>
      <c r="R632" s="12"/>
      <c r="S632" s="12"/>
      <c r="T632" s="9" t="s">
        <v>1707</v>
      </c>
      <c r="U632" s="9" t="s">
        <v>1709</v>
      </c>
    </row>
    <row r="633" customFormat="false" ht="15" hidden="false" customHeight="false" outlineLevel="0" collapsed="false">
      <c r="A633" s="9"/>
      <c r="B633" s="9"/>
      <c r="C633" s="9"/>
      <c r="D633" s="9"/>
      <c r="E633" s="9"/>
      <c r="F633" s="9" t="s">
        <v>1703</v>
      </c>
      <c r="G633" s="10" t="s">
        <v>1710</v>
      </c>
      <c r="H633" s="9"/>
      <c r="I633" s="9" t="n">
        <v>1</v>
      </c>
      <c r="J633" s="9" t="n">
        <v>0</v>
      </c>
      <c r="K633" s="11" t="n">
        <v>0</v>
      </c>
      <c r="L633" s="11" t="n">
        <v>1</v>
      </c>
      <c r="M633" s="9" t="n">
        <v>0</v>
      </c>
      <c r="N633" s="11" t="n">
        <v>1</v>
      </c>
      <c r="O633" s="11" t="n">
        <v>0.6</v>
      </c>
      <c r="P633" s="12"/>
      <c r="Q633" s="12"/>
      <c r="R633" s="12"/>
      <c r="S633" s="12"/>
      <c r="T633" s="9" t="s">
        <v>1707</v>
      </c>
      <c r="U633" s="9" t="s">
        <v>1710</v>
      </c>
    </row>
    <row r="634" customFormat="false" ht="15" hidden="false" customHeight="false" outlineLevel="0" collapsed="false">
      <c r="A634" s="9"/>
      <c r="B634" s="9"/>
      <c r="C634" s="9"/>
      <c r="D634" s="9"/>
      <c r="E634" s="9"/>
      <c r="F634" s="9" t="s">
        <v>1703</v>
      </c>
      <c r="G634" s="10" t="s">
        <v>1711</v>
      </c>
      <c r="H634" s="9"/>
      <c r="I634" s="9" t="n">
        <v>1</v>
      </c>
      <c r="J634" s="9" t="n">
        <v>0</v>
      </c>
      <c r="K634" s="11" t="n">
        <v>0</v>
      </c>
      <c r="L634" s="11" t="n">
        <v>1</v>
      </c>
      <c r="M634" s="9" t="n">
        <v>0</v>
      </c>
      <c r="N634" s="11" t="n">
        <v>1</v>
      </c>
      <c r="O634" s="11" t="n">
        <v>0.6</v>
      </c>
      <c r="P634" s="12"/>
      <c r="Q634" s="12"/>
      <c r="R634" s="12"/>
      <c r="S634" s="12"/>
      <c r="T634" s="9" t="s">
        <v>1707</v>
      </c>
      <c r="U634" s="9" t="s">
        <v>1711</v>
      </c>
    </row>
    <row r="635" customFormat="false" ht="15" hidden="false" customHeight="false" outlineLevel="0" collapsed="false">
      <c r="A635" s="7" t="s">
        <v>1312</v>
      </c>
      <c r="B635" s="7" t="s">
        <v>1712</v>
      </c>
      <c r="C635" s="8" t="s">
        <v>65</v>
      </c>
      <c r="D635" s="7" t="s">
        <v>1713</v>
      </c>
      <c r="E635" s="7" t="n">
        <v>25</v>
      </c>
      <c r="F635" s="9" t="s">
        <v>1714</v>
      </c>
      <c r="G635" s="10" t="s">
        <v>1715</v>
      </c>
      <c r="H635" s="9" t="s">
        <v>1716</v>
      </c>
      <c r="I635" s="9" t="n">
        <v>45</v>
      </c>
      <c r="J635" s="9" t="n">
        <v>34</v>
      </c>
      <c r="K635" s="11" t="n">
        <v>1.36</v>
      </c>
      <c r="L635" s="11" t="n">
        <v>1</v>
      </c>
      <c r="M635" s="9" t="n">
        <v>0</v>
      </c>
      <c r="N635" s="11" t="n">
        <v>0.878</v>
      </c>
      <c r="O635" s="11" t="n">
        <v>0.682</v>
      </c>
      <c r="P635" s="12"/>
      <c r="Q635" s="12"/>
      <c r="R635" s="12"/>
      <c r="S635" s="12"/>
      <c r="T635" s="9" t="s">
        <v>1717</v>
      </c>
      <c r="U635" s="9" t="s">
        <v>1715</v>
      </c>
    </row>
    <row r="636" customFormat="false" ht="15" hidden="false" customHeight="false" outlineLevel="0" collapsed="false">
      <c r="A636" s="9"/>
      <c r="B636" s="9"/>
      <c r="C636" s="9"/>
      <c r="D636" s="9"/>
      <c r="E636" s="9"/>
      <c r="F636" s="9" t="s">
        <v>1718</v>
      </c>
      <c r="G636" s="10" t="s">
        <v>1719</v>
      </c>
      <c r="H636" s="9"/>
      <c r="I636" s="9" t="n">
        <v>1</v>
      </c>
      <c r="J636" s="9" t="n">
        <v>1</v>
      </c>
      <c r="K636" s="11" t="n">
        <v>0.04</v>
      </c>
      <c r="L636" s="11" t="n">
        <v>1</v>
      </c>
      <c r="M636" s="9" t="n">
        <v>0</v>
      </c>
      <c r="N636" s="11" t="n">
        <v>1</v>
      </c>
      <c r="O636" s="11" t="n">
        <v>0.65</v>
      </c>
      <c r="P636" s="12"/>
      <c r="Q636" s="12"/>
      <c r="R636" s="12"/>
      <c r="S636" s="12"/>
      <c r="T636" s="9" t="s">
        <v>1717</v>
      </c>
      <c r="U636" s="9" t="s">
        <v>1719</v>
      </c>
    </row>
    <row r="637" customFormat="false" ht="15" hidden="false" customHeight="false" outlineLevel="0" collapsed="false">
      <c r="A637" s="9"/>
      <c r="B637" s="9"/>
      <c r="C637" s="9"/>
      <c r="D637" s="9"/>
      <c r="E637" s="9"/>
      <c r="F637" s="9" t="s">
        <v>1712</v>
      </c>
      <c r="G637" s="10" t="s">
        <v>1720</v>
      </c>
      <c r="H637" s="9"/>
      <c r="I637" s="9" t="n">
        <v>34</v>
      </c>
      <c r="J637" s="9" t="n">
        <v>0</v>
      </c>
      <c r="K637" s="11" t="n">
        <v>0</v>
      </c>
      <c r="L637" s="11" t="n">
        <v>1</v>
      </c>
      <c r="M637" s="9" t="n">
        <v>0</v>
      </c>
      <c r="N637" s="11" t="n">
        <v>0.667</v>
      </c>
      <c r="O637" s="11" t="n">
        <v>0.55</v>
      </c>
      <c r="P637" s="12"/>
      <c r="Q637" s="12"/>
      <c r="R637" s="12"/>
      <c r="S637" s="12"/>
      <c r="T637" s="9" t="s">
        <v>1717</v>
      </c>
      <c r="U637" s="9" t="s">
        <v>1720</v>
      </c>
    </row>
    <row r="638" customFormat="false" ht="15" hidden="false" customHeight="false" outlineLevel="0" collapsed="false">
      <c r="A638" s="9"/>
      <c r="B638" s="9"/>
      <c r="C638" s="9"/>
      <c r="D638" s="9"/>
      <c r="E638" s="9"/>
      <c r="F638" s="9" t="s">
        <v>1721</v>
      </c>
      <c r="G638" s="10" t="s">
        <v>1722</v>
      </c>
      <c r="H638" s="9"/>
      <c r="I638" s="9" t="n">
        <v>108</v>
      </c>
      <c r="J638" s="9" t="n">
        <v>6031</v>
      </c>
      <c r="K638" s="11" t="n">
        <v>241.24</v>
      </c>
      <c r="L638" s="11" t="n">
        <v>1</v>
      </c>
      <c r="M638" s="9" t="n">
        <v>0</v>
      </c>
      <c r="N638" s="11" t="n">
        <v>0.406</v>
      </c>
      <c r="O638" s="11" t="n">
        <v>0.511</v>
      </c>
      <c r="P638" s="12"/>
      <c r="Q638" s="12"/>
      <c r="R638" s="12"/>
      <c r="S638" s="12"/>
      <c r="T638" s="9" t="s">
        <v>1717</v>
      </c>
      <c r="U638" s="9" t="s">
        <v>1722</v>
      </c>
    </row>
    <row r="639" customFormat="false" ht="15" hidden="false" customHeight="false" outlineLevel="0" collapsed="false">
      <c r="A639" s="7" t="s">
        <v>1312</v>
      </c>
      <c r="B639" s="7" t="s">
        <v>1723</v>
      </c>
      <c r="C639" s="8" t="s">
        <v>380</v>
      </c>
      <c r="D639" s="7" t="s">
        <v>1724</v>
      </c>
      <c r="E639" s="7" t="n">
        <v>1210</v>
      </c>
      <c r="F639" s="9" t="s">
        <v>1723</v>
      </c>
      <c r="G639" s="10" t="s">
        <v>1725</v>
      </c>
      <c r="H639" s="9" t="s">
        <v>1287</v>
      </c>
      <c r="I639" s="9" t="n">
        <v>117</v>
      </c>
      <c r="J639" s="9" t="n">
        <v>6998</v>
      </c>
      <c r="K639" s="11" t="n">
        <v>7.351</v>
      </c>
      <c r="L639" s="11" t="n">
        <v>1</v>
      </c>
      <c r="M639" s="9" t="n">
        <v>0.5</v>
      </c>
      <c r="N639" s="11" t="n">
        <v>0</v>
      </c>
      <c r="O639" s="11" t="n">
        <v>0.6</v>
      </c>
      <c r="P639" s="12"/>
      <c r="Q639" s="12"/>
      <c r="R639" s="12"/>
      <c r="S639" s="12"/>
      <c r="T639" s="9" t="s">
        <v>1726</v>
      </c>
      <c r="U639" s="9" t="s">
        <v>1725</v>
      </c>
    </row>
    <row r="640" customFormat="false" ht="15" hidden="false" customHeight="false" outlineLevel="0" collapsed="false">
      <c r="A640" s="9"/>
      <c r="B640" s="9"/>
      <c r="C640" s="9"/>
      <c r="D640" s="9"/>
      <c r="E640" s="9"/>
      <c r="F640" s="9" t="s">
        <v>1723</v>
      </c>
      <c r="G640" s="10" t="s">
        <v>1727</v>
      </c>
      <c r="H640" s="9" t="s">
        <v>1728</v>
      </c>
      <c r="I640" s="9" t="n">
        <v>171</v>
      </c>
      <c r="J640" s="9" t="n">
        <v>6151</v>
      </c>
      <c r="K640" s="11" t="n">
        <v>6.461</v>
      </c>
      <c r="L640" s="11" t="n">
        <v>1</v>
      </c>
      <c r="M640" s="9" t="n">
        <v>0</v>
      </c>
      <c r="N640" s="11" t="n">
        <v>1</v>
      </c>
      <c r="O640" s="11" t="n">
        <v>0.6</v>
      </c>
      <c r="P640" s="12"/>
      <c r="Q640" s="12"/>
      <c r="R640" s="12"/>
      <c r="S640" s="12"/>
      <c r="T640" s="9" t="s">
        <v>1726</v>
      </c>
      <c r="U640" s="9" t="s">
        <v>1727</v>
      </c>
    </row>
    <row r="641" customFormat="false" ht="15" hidden="false" customHeight="false" outlineLevel="0" collapsed="false">
      <c r="A641" s="9"/>
      <c r="B641" s="9"/>
      <c r="C641" s="9"/>
      <c r="D641" s="9"/>
      <c r="E641" s="9"/>
      <c r="F641" s="9" t="s">
        <v>1723</v>
      </c>
      <c r="G641" s="10" t="s">
        <v>1729</v>
      </c>
      <c r="H641" s="9" t="s">
        <v>1730</v>
      </c>
      <c r="I641" s="9" t="n">
        <v>90</v>
      </c>
      <c r="J641" s="9" t="n">
        <v>8502</v>
      </c>
      <c r="K641" s="11" t="n">
        <v>8.931</v>
      </c>
      <c r="L641" s="11" t="n">
        <v>1</v>
      </c>
      <c r="M641" s="9" t="n">
        <v>0</v>
      </c>
      <c r="N641" s="11" t="n">
        <v>0.772</v>
      </c>
      <c r="O641" s="11" t="n">
        <v>0.566</v>
      </c>
      <c r="P641" s="12"/>
      <c r="Q641" s="12"/>
      <c r="R641" s="12"/>
      <c r="S641" s="12"/>
      <c r="T641" s="9" t="s">
        <v>1726</v>
      </c>
      <c r="U641" s="9" t="s">
        <v>1729</v>
      </c>
    </row>
    <row r="642" customFormat="false" ht="15" hidden="false" customHeight="false" outlineLevel="0" collapsed="false">
      <c r="A642" s="9"/>
      <c r="B642" s="9"/>
      <c r="C642" s="9"/>
      <c r="D642" s="9"/>
      <c r="E642" s="9"/>
      <c r="F642" s="9" t="s">
        <v>1723</v>
      </c>
      <c r="G642" s="10" t="s">
        <v>1731</v>
      </c>
      <c r="H642" s="9" t="s">
        <v>1732</v>
      </c>
      <c r="I642" s="9" t="n">
        <v>93</v>
      </c>
      <c r="J642" s="9" t="n">
        <v>2840</v>
      </c>
      <c r="K642" s="11" t="n">
        <v>2.983</v>
      </c>
      <c r="L642" s="11" t="n">
        <v>1</v>
      </c>
      <c r="M642" s="9" t="n">
        <v>0</v>
      </c>
      <c r="N642" s="11" t="n">
        <v>0.421</v>
      </c>
      <c r="O642" s="11" t="n">
        <v>0.563</v>
      </c>
      <c r="P642" s="12"/>
      <c r="Q642" s="12"/>
      <c r="R642" s="12"/>
      <c r="S642" s="12"/>
      <c r="T642" s="9" t="s">
        <v>1726</v>
      </c>
      <c r="U642" s="9" t="s">
        <v>1731</v>
      </c>
    </row>
    <row r="643" customFormat="false" ht="15" hidden="false" customHeight="false" outlineLevel="0" collapsed="false">
      <c r="A643" s="9"/>
      <c r="B643" s="9"/>
      <c r="C643" s="9"/>
      <c r="D643" s="9"/>
      <c r="E643" s="9"/>
      <c r="F643" s="9" t="s">
        <v>1723</v>
      </c>
      <c r="G643" s="10" t="s">
        <v>1733</v>
      </c>
      <c r="H643" s="9"/>
      <c r="I643" s="9" t="n">
        <v>69</v>
      </c>
      <c r="J643" s="9" t="n">
        <v>2782</v>
      </c>
      <c r="K643" s="11" t="n">
        <v>2.922</v>
      </c>
      <c r="L643" s="11" t="n">
        <v>1</v>
      </c>
      <c r="M643" s="9" t="n">
        <v>0</v>
      </c>
      <c r="N643" s="11" t="n">
        <v>0.306</v>
      </c>
      <c r="O643" s="11" t="n">
        <v>0.546</v>
      </c>
      <c r="P643" s="12"/>
      <c r="Q643" s="12"/>
      <c r="R643" s="12"/>
      <c r="S643" s="12"/>
      <c r="T643" s="9" t="s">
        <v>1726</v>
      </c>
      <c r="U643" s="9" t="s">
        <v>1733</v>
      </c>
    </row>
    <row r="644" customFormat="false" ht="15" hidden="false" customHeight="false" outlineLevel="0" collapsed="false">
      <c r="A644" s="7" t="s">
        <v>1312</v>
      </c>
      <c r="B644" s="7" t="s">
        <v>1734</v>
      </c>
      <c r="C644" s="8" t="s">
        <v>58</v>
      </c>
      <c r="D644" s="7" t="s">
        <v>1735</v>
      </c>
      <c r="E644" s="7" t="n">
        <v>3</v>
      </c>
      <c r="F644" s="9" t="s">
        <v>1734</v>
      </c>
      <c r="G644" s="10" t="s">
        <v>1736</v>
      </c>
      <c r="H644" s="9"/>
      <c r="I644" s="9" t="n">
        <v>1</v>
      </c>
      <c r="J644" s="9" t="n">
        <v>0</v>
      </c>
      <c r="K644" s="11" t="n">
        <v>0</v>
      </c>
      <c r="L644" s="11" t="n">
        <v>1</v>
      </c>
      <c r="M644" s="9" t="n">
        <v>0</v>
      </c>
      <c r="N644" s="11" t="n">
        <v>1</v>
      </c>
      <c r="O644" s="11" t="n">
        <v>0.6</v>
      </c>
      <c r="P644" s="12"/>
      <c r="Q644" s="12"/>
      <c r="R644" s="12"/>
      <c r="S644" s="12"/>
      <c r="T644" s="9" t="s">
        <v>1737</v>
      </c>
      <c r="U644" s="9" t="s">
        <v>1736</v>
      </c>
    </row>
    <row r="645" customFormat="false" ht="15" hidden="false" customHeight="false" outlineLevel="0" collapsed="false">
      <c r="A645" s="9"/>
      <c r="B645" s="9"/>
      <c r="C645" s="9"/>
      <c r="D645" s="9"/>
      <c r="E645" s="9"/>
      <c r="F645" s="9" t="s">
        <v>1734</v>
      </c>
      <c r="G645" s="10" t="s">
        <v>1738</v>
      </c>
      <c r="H645" s="9"/>
      <c r="I645" s="9" t="n">
        <v>1</v>
      </c>
      <c r="J645" s="9" t="n">
        <v>0</v>
      </c>
      <c r="K645" s="11" t="n">
        <v>0</v>
      </c>
      <c r="L645" s="11" t="n">
        <v>1</v>
      </c>
      <c r="M645" s="9" t="n">
        <v>0</v>
      </c>
      <c r="N645" s="11" t="n">
        <v>1</v>
      </c>
      <c r="O645" s="11" t="n">
        <v>0.6</v>
      </c>
      <c r="P645" s="12"/>
      <c r="Q645" s="12"/>
      <c r="R645" s="12"/>
      <c r="S645" s="12"/>
      <c r="T645" s="9" t="s">
        <v>1737</v>
      </c>
      <c r="U645" s="9" t="s">
        <v>1738</v>
      </c>
    </row>
    <row r="646" customFormat="false" ht="15" hidden="false" customHeight="false" outlineLevel="0" collapsed="false">
      <c r="A646" s="9"/>
      <c r="B646" s="9"/>
      <c r="C646" s="9"/>
      <c r="D646" s="9"/>
      <c r="E646" s="9"/>
      <c r="F646" s="9" t="s">
        <v>1734</v>
      </c>
      <c r="G646" s="10" t="s">
        <v>1739</v>
      </c>
      <c r="H646" s="9"/>
      <c r="I646" s="9" t="n">
        <v>1</v>
      </c>
      <c r="J646" s="9" t="n">
        <v>0</v>
      </c>
      <c r="K646" s="11" t="n">
        <v>0</v>
      </c>
      <c r="L646" s="11" t="n">
        <v>1</v>
      </c>
      <c r="M646" s="9" t="n">
        <v>0</v>
      </c>
      <c r="N646" s="11" t="n">
        <v>0.667</v>
      </c>
      <c r="O646" s="11" t="n">
        <v>0.55</v>
      </c>
      <c r="P646" s="12"/>
      <c r="Q646" s="12"/>
      <c r="R646" s="12"/>
      <c r="S646" s="12"/>
      <c r="T646" s="9" t="s">
        <v>1737</v>
      </c>
      <c r="U646" s="9" t="s">
        <v>1739</v>
      </c>
    </row>
    <row r="647" customFormat="false" ht="15" hidden="false" customHeight="false" outlineLevel="0" collapsed="false">
      <c r="A647" s="9"/>
      <c r="B647" s="9"/>
      <c r="C647" s="9"/>
      <c r="D647" s="9"/>
      <c r="E647" s="9"/>
      <c r="F647" s="9" t="s">
        <v>1734</v>
      </c>
      <c r="G647" s="10" t="s">
        <v>1740</v>
      </c>
      <c r="H647" s="9"/>
      <c r="I647" s="9" t="n">
        <v>1</v>
      </c>
      <c r="J647" s="9" t="n">
        <v>0</v>
      </c>
      <c r="K647" s="11" t="n">
        <v>0</v>
      </c>
      <c r="L647" s="11" t="n">
        <v>1</v>
      </c>
      <c r="M647" s="9" t="n">
        <v>0</v>
      </c>
      <c r="N647" s="11" t="n">
        <v>0.5</v>
      </c>
      <c r="O647" s="11" t="n">
        <v>0.525</v>
      </c>
      <c r="P647" s="12"/>
      <c r="Q647" s="12"/>
      <c r="R647" s="12"/>
      <c r="S647" s="12"/>
      <c r="T647" s="9" t="s">
        <v>1737</v>
      </c>
      <c r="U647" s="9" t="s">
        <v>1740</v>
      </c>
    </row>
    <row r="648" customFormat="false" ht="15" hidden="false" customHeight="false" outlineLevel="0" collapsed="false">
      <c r="A648" s="7" t="s">
        <v>1312</v>
      </c>
      <c r="B648" s="7" t="s">
        <v>1741</v>
      </c>
      <c r="C648" s="8" t="s">
        <v>997</v>
      </c>
      <c r="D648" s="7" t="s">
        <v>1742</v>
      </c>
      <c r="E648" s="7" t="n">
        <v>160</v>
      </c>
      <c r="F648" s="9" t="s">
        <v>1743</v>
      </c>
      <c r="G648" s="10" t="s">
        <v>1744</v>
      </c>
      <c r="H648" s="9" t="s">
        <v>1745</v>
      </c>
      <c r="I648" s="9" t="n">
        <v>4</v>
      </c>
      <c r="J648" s="9" t="n">
        <v>43</v>
      </c>
      <c r="K648" s="11" t="n">
        <v>0.291</v>
      </c>
      <c r="L648" s="11" t="n">
        <v>1</v>
      </c>
      <c r="M648" s="9" t="n">
        <v>0</v>
      </c>
      <c r="N648" s="11" t="n">
        <v>0.5</v>
      </c>
      <c r="O648" s="11" t="n">
        <v>0.625</v>
      </c>
      <c r="P648" s="12"/>
      <c r="Q648" s="12"/>
      <c r="R648" s="12"/>
      <c r="S648" s="12"/>
      <c r="T648" s="9" t="s">
        <v>1746</v>
      </c>
      <c r="U648" s="9" t="s">
        <v>1744</v>
      </c>
    </row>
    <row r="649" customFormat="false" ht="15" hidden="false" customHeight="false" outlineLevel="0" collapsed="false">
      <c r="A649" s="9"/>
      <c r="B649" s="9"/>
      <c r="C649" s="9"/>
      <c r="D649" s="9"/>
      <c r="E649" s="9"/>
      <c r="F649" s="9" t="s">
        <v>1741</v>
      </c>
      <c r="G649" s="10" t="s">
        <v>1747</v>
      </c>
      <c r="H649" s="9" t="s">
        <v>1748</v>
      </c>
      <c r="I649" s="9" t="n">
        <v>4</v>
      </c>
      <c r="J649" s="9" t="n">
        <v>16</v>
      </c>
      <c r="K649" s="11" t="n">
        <v>0.108</v>
      </c>
      <c r="L649" s="11" t="n">
        <v>1</v>
      </c>
      <c r="M649" s="9" t="n">
        <v>0</v>
      </c>
      <c r="N649" s="11" t="n">
        <v>0.4</v>
      </c>
      <c r="O649" s="11" t="n">
        <v>0.61</v>
      </c>
      <c r="P649" s="12"/>
      <c r="Q649" s="12"/>
      <c r="R649" s="12"/>
      <c r="S649" s="12"/>
      <c r="T649" s="9" t="s">
        <v>1746</v>
      </c>
      <c r="U649" s="9" t="s">
        <v>1747</v>
      </c>
    </row>
    <row r="650" customFormat="false" ht="15" hidden="false" customHeight="false" outlineLevel="0" collapsed="false">
      <c r="A650" s="9"/>
      <c r="B650" s="9"/>
      <c r="C650" s="9"/>
      <c r="D650" s="9"/>
      <c r="E650" s="9"/>
      <c r="F650" s="9" t="s">
        <v>1741</v>
      </c>
      <c r="G650" s="10" t="s">
        <v>1749</v>
      </c>
      <c r="H650" s="9"/>
      <c r="I650" s="9" t="n">
        <v>2</v>
      </c>
      <c r="J650" s="9" t="n">
        <v>0</v>
      </c>
      <c r="K650" s="11" t="n">
        <v>0</v>
      </c>
      <c r="L650" s="11" t="n">
        <v>1</v>
      </c>
      <c r="M650" s="9" t="n">
        <v>0</v>
      </c>
      <c r="N650" s="11" t="n">
        <v>1</v>
      </c>
      <c r="O650" s="11" t="n">
        <v>0.6</v>
      </c>
      <c r="P650" s="12"/>
      <c r="Q650" s="12"/>
      <c r="R650" s="12"/>
      <c r="S650" s="12"/>
      <c r="T650" s="9" t="s">
        <v>1746</v>
      </c>
      <c r="U650" s="9" t="s">
        <v>1749</v>
      </c>
    </row>
    <row r="651" customFormat="false" ht="15" hidden="false" customHeight="false" outlineLevel="0" collapsed="false">
      <c r="A651" s="9"/>
      <c r="B651" s="9"/>
      <c r="C651" s="9"/>
      <c r="D651" s="9"/>
      <c r="E651" s="9"/>
      <c r="F651" s="9" t="s">
        <v>1741</v>
      </c>
      <c r="G651" s="10" t="s">
        <v>1750</v>
      </c>
      <c r="H651" s="9" t="s">
        <v>1748</v>
      </c>
      <c r="I651" s="9" t="n">
        <v>16</v>
      </c>
      <c r="J651" s="9" t="n">
        <v>9</v>
      </c>
      <c r="K651" s="11" t="n">
        <v>0.061</v>
      </c>
      <c r="L651" s="11" t="n">
        <v>1</v>
      </c>
      <c r="M651" s="9" t="n">
        <v>0</v>
      </c>
      <c r="N651" s="11" t="n">
        <v>0.571</v>
      </c>
      <c r="O651" s="11" t="n">
        <v>0.586</v>
      </c>
      <c r="P651" s="12"/>
      <c r="Q651" s="12"/>
      <c r="R651" s="12"/>
      <c r="S651" s="12"/>
      <c r="T651" s="9" t="s">
        <v>1746</v>
      </c>
      <c r="U651" s="9" t="s">
        <v>1750</v>
      </c>
    </row>
    <row r="652" customFormat="false" ht="15" hidden="false" customHeight="false" outlineLevel="0" collapsed="false">
      <c r="A652" s="9"/>
      <c r="B652" s="9"/>
      <c r="C652" s="9"/>
      <c r="D652" s="9"/>
      <c r="E652" s="9"/>
      <c r="F652" s="9" t="s">
        <v>1741</v>
      </c>
      <c r="G652" s="10" t="s">
        <v>1751</v>
      </c>
      <c r="H652" s="9"/>
      <c r="I652" s="9" t="n">
        <v>1</v>
      </c>
      <c r="J652" s="9" t="n">
        <v>0</v>
      </c>
      <c r="K652" s="11" t="n">
        <v>0</v>
      </c>
      <c r="L652" s="11" t="n">
        <v>1</v>
      </c>
      <c r="M652" s="9" t="n">
        <v>0</v>
      </c>
      <c r="N652" s="11" t="n">
        <v>0.333</v>
      </c>
      <c r="O652" s="11" t="n">
        <v>0.5</v>
      </c>
      <c r="P652" s="12"/>
      <c r="Q652" s="12"/>
      <c r="R652" s="12"/>
      <c r="S652" s="12"/>
      <c r="T652" s="9" t="s">
        <v>1746</v>
      </c>
      <c r="U652" s="9" t="s">
        <v>1751</v>
      </c>
    </row>
    <row r="653" customFormat="false" ht="15" hidden="false" customHeight="false" outlineLevel="0" collapsed="false">
      <c r="A653" s="7" t="s">
        <v>1312</v>
      </c>
      <c r="B653" s="7" t="s">
        <v>1752</v>
      </c>
      <c r="C653" s="8" t="s">
        <v>1632</v>
      </c>
      <c r="D653" s="7" t="s">
        <v>1753</v>
      </c>
      <c r="E653" s="7" t="n">
        <v>26</v>
      </c>
      <c r="F653" s="9" t="s">
        <v>1754</v>
      </c>
      <c r="G653" s="10" t="s">
        <v>1755</v>
      </c>
      <c r="H653" s="9" t="s">
        <v>50</v>
      </c>
      <c r="I653" s="9" t="n">
        <v>1</v>
      </c>
      <c r="J653" s="9" t="n">
        <v>2</v>
      </c>
      <c r="K653" s="11" t="n">
        <v>0.095</v>
      </c>
      <c r="L653" s="11" t="n">
        <v>1</v>
      </c>
      <c r="M653" s="9" t="n">
        <v>0.5</v>
      </c>
      <c r="N653" s="11" t="n">
        <v>1</v>
      </c>
      <c r="O653" s="11" t="n">
        <v>0.8</v>
      </c>
      <c r="P653" s="12"/>
      <c r="Q653" s="12"/>
      <c r="R653" s="12"/>
      <c r="S653" s="12"/>
      <c r="T653" s="9" t="s">
        <v>1756</v>
      </c>
      <c r="U653" s="9" t="s">
        <v>1755</v>
      </c>
    </row>
    <row r="654" customFormat="false" ht="15" hidden="false" customHeight="false" outlineLevel="0" collapsed="false">
      <c r="A654" s="7" t="s">
        <v>1312</v>
      </c>
      <c r="B654" s="7" t="s">
        <v>1757</v>
      </c>
      <c r="C654" s="8" t="s">
        <v>566</v>
      </c>
      <c r="D654" s="7" t="s">
        <v>1758</v>
      </c>
      <c r="E654" s="7" t="n">
        <v>8</v>
      </c>
      <c r="F654" s="9" t="s">
        <v>1757</v>
      </c>
      <c r="G654" s="10" t="s">
        <v>1759</v>
      </c>
      <c r="H654" s="9"/>
      <c r="I654" s="9" t="n">
        <v>2</v>
      </c>
      <c r="J654" s="9" t="n">
        <v>6</v>
      </c>
      <c r="K654" s="11" t="n">
        <v>0.75</v>
      </c>
      <c r="L654" s="11" t="n">
        <v>1</v>
      </c>
      <c r="M654" s="9" t="n">
        <v>0</v>
      </c>
      <c r="N654" s="11" t="n">
        <v>0.5</v>
      </c>
      <c r="O654" s="11" t="n">
        <v>0.625</v>
      </c>
      <c r="P654" s="12"/>
      <c r="Q654" s="12"/>
      <c r="R654" s="12"/>
      <c r="S654" s="12"/>
      <c r="T654" s="9" t="s">
        <v>1760</v>
      </c>
      <c r="U654" s="9" t="s">
        <v>1759</v>
      </c>
    </row>
    <row r="655" customFormat="false" ht="15" hidden="false" customHeight="false" outlineLevel="0" collapsed="false">
      <c r="A655" s="9"/>
      <c r="B655" s="9"/>
      <c r="C655" s="9"/>
      <c r="D655" s="9"/>
      <c r="E655" s="9"/>
      <c r="F655" s="9" t="s">
        <v>1757</v>
      </c>
      <c r="G655" s="10" t="s">
        <v>1761</v>
      </c>
      <c r="H655" s="9"/>
      <c r="I655" s="9" t="n">
        <v>1</v>
      </c>
      <c r="J655" s="9" t="n">
        <v>0</v>
      </c>
      <c r="K655" s="11" t="n">
        <v>0</v>
      </c>
      <c r="L655" s="11" t="n">
        <v>1</v>
      </c>
      <c r="M655" s="9" t="n">
        <v>0</v>
      </c>
      <c r="N655" s="11" t="n">
        <v>0.667</v>
      </c>
      <c r="O655" s="11" t="n">
        <v>0.55</v>
      </c>
      <c r="P655" s="12"/>
      <c r="Q655" s="12"/>
      <c r="R655" s="12"/>
      <c r="S655" s="12"/>
      <c r="T655" s="9" t="s">
        <v>1760</v>
      </c>
      <c r="U655" s="9" t="s">
        <v>1761</v>
      </c>
    </row>
    <row r="656" customFormat="false" ht="15" hidden="false" customHeight="false" outlineLevel="0" collapsed="false">
      <c r="A656" s="9"/>
      <c r="B656" s="9"/>
      <c r="C656" s="9"/>
      <c r="D656" s="9"/>
      <c r="E656" s="9"/>
      <c r="F656" s="9" t="s">
        <v>1757</v>
      </c>
      <c r="G656" s="10" t="s">
        <v>1762</v>
      </c>
      <c r="H656" s="9"/>
      <c r="I656" s="9" t="n">
        <v>7</v>
      </c>
      <c r="J656" s="9" t="n">
        <v>0</v>
      </c>
      <c r="K656" s="11" t="n">
        <v>0</v>
      </c>
      <c r="L656" s="11" t="n">
        <v>1</v>
      </c>
      <c r="M656" s="9" t="n">
        <v>0</v>
      </c>
      <c r="N656" s="11" t="n">
        <v>0.4</v>
      </c>
      <c r="O656" s="11" t="n">
        <v>0.51</v>
      </c>
      <c r="P656" s="12"/>
      <c r="Q656" s="12"/>
      <c r="R656" s="12"/>
      <c r="S656" s="12"/>
      <c r="T656" s="9" t="s">
        <v>1760</v>
      </c>
      <c r="U656" s="9" t="s">
        <v>1762</v>
      </c>
    </row>
    <row r="657" customFormat="false" ht="15" hidden="false" customHeight="false" outlineLevel="0" collapsed="false">
      <c r="A657" s="7" t="s">
        <v>1312</v>
      </c>
      <c r="B657" s="7" t="s">
        <v>1763</v>
      </c>
      <c r="C657" s="8" t="s">
        <v>606</v>
      </c>
      <c r="D657" s="7" t="s">
        <v>1764</v>
      </c>
      <c r="E657" s="7" t="n">
        <v>2</v>
      </c>
      <c r="F657" s="9" t="s">
        <v>1765</v>
      </c>
      <c r="G657" s="10" t="s">
        <v>1766</v>
      </c>
      <c r="H657" s="9"/>
      <c r="I657" s="9" t="n">
        <v>1</v>
      </c>
      <c r="J657" s="9" t="n">
        <v>1</v>
      </c>
      <c r="K657" s="11" t="n">
        <v>0.5</v>
      </c>
      <c r="L657" s="11" t="n">
        <v>1</v>
      </c>
      <c r="M657" s="9" t="n">
        <v>0</v>
      </c>
      <c r="N657" s="11" t="n">
        <v>1</v>
      </c>
      <c r="O657" s="11" t="n">
        <v>0.7</v>
      </c>
      <c r="P657" s="12"/>
      <c r="Q657" s="12"/>
      <c r="R657" s="12"/>
      <c r="S657" s="12"/>
      <c r="T657" s="9" t="s">
        <v>1767</v>
      </c>
      <c r="U657" s="9" t="s">
        <v>1766</v>
      </c>
    </row>
    <row r="658" customFormat="false" ht="15" hidden="false" customHeight="false" outlineLevel="0" collapsed="false">
      <c r="A658" s="7" t="s">
        <v>1312</v>
      </c>
      <c r="B658" s="7" t="s">
        <v>1768</v>
      </c>
      <c r="C658" s="8" t="s">
        <v>188</v>
      </c>
      <c r="D658" s="7" t="s">
        <v>1769</v>
      </c>
      <c r="E658" s="7" t="n">
        <v>5012</v>
      </c>
      <c r="F658" s="9" t="s">
        <v>1768</v>
      </c>
      <c r="G658" s="10" t="s">
        <v>1770</v>
      </c>
      <c r="H658" s="9"/>
      <c r="I658" s="9" t="n">
        <v>80</v>
      </c>
      <c r="J658" s="9" t="n">
        <v>2688</v>
      </c>
      <c r="K658" s="11" t="n">
        <v>0.566</v>
      </c>
      <c r="L658" s="11" t="n">
        <v>1</v>
      </c>
      <c r="M658" s="9" t="n">
        <v>0.5</v>
      </c>
      <c r="N658" s="11" t="n">
        <v>1</v>
      </c>
      <c r="O658" s="11" t="n">
        <v>0.85</v>
      </c>
      <c r="P658" s="12"/>
      <c r="Q658" s="12"/>
      <c r="R658" s="12"/>
      <c r="S658" s="12"/>
      <c r="T658" s="9" t="s">
        <v>1771</v>
      </c>
      <c r="U658" s="9" t="s">
        <v>1770</v>
      </c>
    </row>
    <row r="659" customFormat="false" ht="15" hidden="false" customHeight="false" outlineLevel="0" collapsed="false">
      <c r="A659" s="9"/>
      <c r="B659" s="9"/>
      <c r="C659" s="9"/>
      <c r="D659" s="9"/>
      <c r="E659" s="9"/>
      <c r="F659" s="9" t="s">
        <v>1772</v>
      </c>
      <c r="G659" s="10" t="s">
        <v>1773</v>
      </c>
      <c r="H659" s="9"/>
      <c r="I659" s="9" t="n">
        <v>186</v>
      </c>
      <c r="J659" s="9" t="n">
        <v>7372</v>
      </c>
      <c r="K659" s="11" t="n">
        <v>1.554</v>
      </c>
      <c r="L659" s="11" t="n">
        <v>1</v>
      </c>
      <c r="M659" s="9" t="n">
        <v>1</v>
      </c>
      <c r="N659" s="11" t="n">
        <v>0</v>
      </c>
      <c r="O659" s="11" t="n">
        <v>0.8</v>
      </c>
      <c r="P659" s="12"/>
      <c r="Q659" s="12"/>
      <c r="R659" s="12"/>
      <c r="S659" s="12"/>
      <c r="T659" s="9" t="s">
        <v>1771</v>
      </c>
      <c r="U659" s="9" t="s">
        <v>1773</v>
      </c>
    </row>
    <row r="660" customFormat="false" ht="15" hidden="false" customHeight="false" outlineLevel="0" collapsed="false">
      <c r="A660" s="9"/>
      <c r="B660" s="9"/>
      <c r="C660" s="9"/>
      <c r="D660" s="9"/>
      <c r="E660" s="9"/>
      <c r="F660" s="9" t="s">
        <v>1774</v>
      </c>
      <c r="G660" s="10" t="s">
        <v>1775</v>
      </c>
      <c r="H660" s="9" t="s">
        <v>1776</v>
      </c>
      <c r="I660" s="9" t="n">
        <v>4</v>
      </c>
      <c r="J660" s="9" t="n">
        <v>63</v>
      </c>
      <c r="K660" s="11" t="n">
        <v>0.013</v>
      </c>
      <c r="L660" s="11" t="n">
        <v>1</v>
      </c>
      <c r="M660" s="9" t="n">
        <v>0.5</v>
      </c>
      <c r="N660" s="11" t="n">
        <v>0.444</v>
      </c>
      <c r="O660" s="11" t="n">
        <v>0.667</v>
      </c>
      <c r="P660" s="12"/>
      <c r="Q660" s="12"/>
      <c r="R660" s="12"/>
      <c r="S660" s="12"/>
      <c r="T660" s="9" t="s">
        <v>1771</v>
      </c>
      <c r="U660" s="9" t="s">
        <v>1775</v>
      </c>
    </row>
    <row r="661" customFormat="false" ht="15" hidden="false" customHeight="false" outlineLevel="0" collapsed="false">
      <c r="A661" s="9"/>
      <c r="B661" s="9"/>
      <c r="C661" s="9"/>
      <c r="D661" s="9"/>
      <c r="E661" s="9"/>
      <c r="F661" s="9" t="s">
        <v>1768</v>
      </c>
      <c r="G661" s="10" t="s">
        <v>1777</v>
      </c>
      <c r="H661" s="9" t="s">
        <v>319</v>
      </c>
      <c r="I661" s="9" t="n">
        <v>5</v>
      </c>
      <c r="J661" s="9" t="n">
        <v>7</v>
      </c>
      <c r="K661" s="11" t="n">
        <v>0.001</v>
      </c>
      <c r="L661" s="11" t="n">
        <v>1</v>
      </c>
      <c r="M661" s="9" t="n">
        <v>0.5</v>
      </c>
      <c r="N661" s="11" t="n">
        <v>0.25</v>
      </c>
      <c r="O661" s="11" t="n">
        <v>0.637</v>
      </c>
      <c r="P661" s="12"/>
      <c r="Q661" s="12"/>
      <c r="R661" s="12"/>
      <c r="S661" s="12"/>
      <c r="T661" s="9" t="s">
        <v>1771</v>
      </c>
      <c r="U661" s="9" t="s">
        <v>1777</v>
      </c>
    </row>
    <row r="662" customFormat="false" ht="15" hidden="false" customHeight="false" outlineLevel="0" collapsed="false">
      <c r="A662" s="9"/>
      <c r="B662" s="9"/>
      <c r="C662" s="9"/>
      <c r="D662" s="9"/>
      <c r="E662" s="9"/>
      <c r="F662" s="9" t="s">
        <v>1778</v>
      </c>
      <c r="G662" s="10" t="s">
        <v>1779</v>
      </c>
      <c r="H662" s="9"/>
      <c r="I662" s="9" t="n">
        <v>1</v>
      </c>
      <c r="J662" s="9" t="n">
        <v>5</v>
      </c>
      <c r="K662" s="11" t="n">
        <v>0.001</v>
      </c>
      <c r="L662" s="11" t="n">
        <v>1</v>
      </c>
      <c r="M662" s="9" t="n">
        <v>0</v>
      </c>
      <c r="N662" s="11" t="n">
        <v>1</v>
      </c>
      <c r="O662" s="11" t="n">
        <v>0.6</v>
      </c>
      <c r="P662" s="12"/>
      <c r="Q662" s="12"/>
      <c r="R662" s="12"/>
      <c r="S662" s="12"/>
      <c r="T662" s="9" t="s">
        <v>1771</v>
      </c>
      <c r="U662" s="9" t="s">
        <v>1779</v>
      </c>
    </row>
    <row r="663" customFormat="false" ht="15" hidden="false" customHeight="false" outlineLevel="0" collapsed="false">
      <c r="A663" s="7" t="s">
        <v>1312</v>
      </c>
      <c r="B663" s="7" t="s">
        <v>1780</v>
      </c>
      <c r="C663" s="8" t="s">
        <v>1573</v>
      </c>
      <c r="D663" s="7" t="s">
        <v>1781</v>
      </c>
      <c r="E663" s="7" t="n">
        <v>128</v>
      </c>
      <c r="F663" s="9" t="s">
        <v>1780</v>
      </c>
      <c r="G663" s="10" t="s">
        <v>1782</v>
      </c>
      <c r="H663" s="9" t="s">
        <v>1783</v>
      </c>
      <c r="I663" s="9" t="n">
        <v>14</v>
      </c>
      <c r="J663" s="9" t="n">
        <v>72</v>
      </c>
      <c r="K663" s="11" t="n">
        <v>0.585</v>
      </c>
      <c r="L663" s="11" t="n">
        <v>1</v>
      </c>
      <c r="M663" s="9" t="n">
        <v>0.5</v>
      </c>
      <c r="N663" s="11" t="n">
        <v>1</v>
      </c>
      <c r="O663" s="11" t="n">
        <v>0.85</v>
      </c>
      <c r="P663" s="12"/>
      <c r="Q663" s="12"/>
      <c r="R663" s="12"/>
      <c r="S663" s="12"/>
      <c r="T663" s="9" t="s">
        <v>1784</v>
      </c>
      <c r="U663" s="9" t="s">
        <v>1782</v>
      </c>
    </row>
    <row r="664" customFormat="false" ht="15" hidden="false" customHeight="false" outlineLevel="0" collapsed="false">
      <c r="A664" s="9"/>
      <c r="B664" s="9"/>
      <c r="C664" s="9"/>
      <c r="D664" s="9"/>
      <c r="E664" s="9"/>
      <c r="F664" s="9" t="s">
        <v>1785</v>
      </c>
      <c r="G664" s="10" t="s">
        <v>1786</v>
      </c>
      <c r="H664" s="9" t="s">
        <v>1787</v>
      </c>
      <c r="I664" s="9" t="n">
        <v>3</v>
      </c>
      <c r="J664" s="9" t="n">
        <v>9</v>
      </c>
      <c r="K664" s="11" t="n">
        <v>0.073</v>
      </c>
      <c r="L664" s="11" t="n">
        <v>1</v>
      </c>
      <c r="M664" s="9" t="n">
        <v>0</v>
      </c>
      <c r="N664" s="11" t="n">
        <v>0.714</v>
      </c>
      <c r="O664" s="11" t="n">
        <v>0.607</v>
      </c>
      <c r="P664" s="12"/>
      <c r="Q664" s="12"/>
      <c r="R664" s="12"/>
      <c r="S664" s="12"/>
      <c r="T664" s="9" t="s">
        <v>1784</v>
      </c>
      <c r="U664" s="9" t="s">
        <v>1786</v>
      </c>
    </row>
    <row r="665" customFormat="false" ht="15" hidden="false" customHeight="false" outlineLevel="0" collapsed="false">
      <c r="A665" s="9"/>
      <c r="B665" s="9"/>
      <c r="C665" s="9"/>
      <c r="D665" s="9"/>
      <c r="E665" s="9"/>
      <c r="F665" s="9" t="s">
        <v>1788</v>
      </c>
      <c r="G665" s="10" t="s">
        <v>1789</v>
      </c>
      <c r="H665" s="9"/>
      <c r="I665" s="9" t="n">
        <v>11</v>
      </c>
      <c r="J665" s="9" t="n">
        <v>112</v>
      </c>
      <c r="K665" s="11" t="n">
        <v>0.911</v>
      </c>
      <c r="L665" s="11" t="n">
        <v>1</v>
      </c>
      <c r="M665" s="9" t="n">
        <v>0</v>
      </c>
      <c r="N665" s="11" t="n">
        <v>0.273</v>
      </c>
      <c r="O665" s="11" t="n">
        <v>0.591</v>
      </c>
      <c r="P665" s="12"/>
      <c r="Q665" s="12"/>
      <c r="R665" s="12"/>
      <c r="S665" s="12"/>
      <c r="T665" s="9" t="s">
        <v>1784</v>
      </c>
      <c r="U665" s="9" t="s">
        <v>1789</v>
      </c>
    </row>
    <row r="666" customFormat="false" ht="15" hidden="false" customHeight="false" outlineLevel="0" collapsed="false">
      <c r="A666" s="9"/>
      <c r="B666" s="9"/>
      <c r="C666" s="9"/>
      <c r="D666" s="9"/>
      <c r="E666" s="9"/>
      <c r="F666" s="9" t="s">
        <v>1790</v>
      </c>
      <c r="G666" s="10" t="s">
        <v>1791</v>
      </c>
      <c r="H666" s="9"/>
      <c r="I666" s="9" t="n">
        <v>3</v>
      </c>
      <c r="J666" s="9" t="n">
        <v>9</v>
      </c>
      <c r="K666" s="11" t="n">
        <v>0.073</v>
      </c>
      <c r="L666" s="11" t="n">
        <v>1</v>
      </c>
      <c r="M666" s="9" t="n">
        <v>0</v>
      </c>
      <c r="N666" s="11" t="n">
        <v>0.4</v>
      </c>
      <c r="O666" s="11" t="n">
        <v>0.56</v>
      </c>
      <c r="P666" s="12"/>
      <c r="Q666" s="12"/>
      <c r="R666" s="12"/>
      <c r="S666" s="12"/>
      <c r="T666" s="9" t="s">
        <v>1784</v>
      </c>
      <c r="U666" s="9" t="s">
        <v>1791</v>
      </c>
    </row>
    <row r="667" customFormat="false" ht="15" hidden="false" customHeight="false" outlineLevel="0" collapsed="false">
      <c r="A667" s="9"/>
      <c r="B667" s="9"/>
      <c r="C667" s="9"/>
      <c r="D667" s="9"/>
      <c r="E667" s="9"/>
      <c r="F667" s="9" t="s">
        <v>1792</v>
      </c>
      <c r="G667" s="10" t="s">
        <v>1793</v>
      </c>
      <c r="H667" s="9" t="s">
        <v>1794</v>
      </c>
      <c r="I667" s="9" t="n">
        <v>4</v>
      </c>
      <c r="J667" s="9" t="n">
        <v>155</v>
      </c>
      <c r="K667" s="11" t="n">
        <v>1.26</v>
      </c>
      <c r="L667" s="11" t="n">
        <v>1</v>
      </c>
      <c r="M667" s="9" t="n">
        <v>0</v>
      </c>
      <c r="N667" s="11" t="n">
        <v>0</v>
      </c>
      <c r="O667" s="11" t="n">
        <v>0.55</v>
      </c>
      <c r="P667" s="12"/>
      <c r="Q667" s="12"/>
      <c r="R667" s="12"/>
      <c r="S667" s="12"/>
      <c r="T667" s="9" t="s">
        <v>1784</v>
      </c>
      <c r="U667" s="9" t="s">
        <v>1793</v>
      </c>
    </row>
    <row r="668" customFormat="false" ht="15" hidden="false" customHeight="false" outlineLevel="0" collapsed="false">
      <c r="A668" s="7" t="s">
        <v>1312</v>
      </c>
      <c r="B668" s="7" t="s">
        <v>1795</v>
      </c>
      <c r="C668" s="8" t="s">
        <v>1796</v>
      </c>
      <c r="D668" s="7" t="s">
        <v>1797</v>
      </c>
      <c r="E668" s="7" t="n">
        <v>217</v>
      </c>
      <c r="F668" s="9" t="s">
        <v>1798</v>
      </c>
      <c r="G668" s="10" t="s">
        <v>1799</v>
      </c>
      <c r="H668" s="9"/>
      <c r="I668" s="9" t="n">
        <v>1</v>
      </c>
      <c r="J668" s="9" t="n">
        <v>0</v>
      </c>
      <c r="K668" s="11" t="n">
        <v>0</v>
      </c>
      <c r="L668" s="11" t="n">
        <v>1</v>
      </c>
      <c r="M668" s="9" t="n">
        <v>0</v>
      </c>
      <c r="N668" s="11" t="n">
        <v>0.667</v>
      </c>
      <c r="O668" s="11" t="n">
        <v>0.55</v>
      </c>
      <c r="P668" s="12"/>
      <c r="Q668" s="12"/>
      <c r="R668" s="12"/>
      <c r="S668" s="12"/>
      <c r="T668" s="9" t="s">
        <v>1800</v>
      </c>
      <c r="U668" s="9" t="s">
        <v>1799</v>
      </c>
    </row>
    <row r="669" customFormat="false" ht="15" hidden="false" customHeight="false" outlineLevel="0" collapsed="false">
      <c r="A669" s="7" t="s">
        <v>1312</v>
      </c>
      <c r="B669" s="7" t="s">
        <v>1801</v>
      </c>
      <c r="C669" s="8" t="s">
        <v>357</v>
      </c>
      <c r="D669" s="7" t="s">
        <v>1802</v>
      </c>
      <c r="E669" s="7" t="n">
        <v>5</v>
      </c>
      <c r="F669" s="9" t="s">
        <v>1801</v>
      </c>
      <c r="G669" s="10" t="s">
        <v>1803</v>
      </c>
      <c r="H669" s="9" t="s">
        <v>1804</v>
      </c>
      <c r="I669" s="9" t="n">
        <v>3</v>
      </c>
      <c r="J669" s="9" t="n">
        <v>1</v>
      </c>
      <c r="K669" s="11" t="n">
        <v>0.25</v>
      </c>
      <c r="L669" s="11" t="n">
        <v>1</v>
      </c>
      <c r="M669" s="9" t="n">
        <v>0</v>
      </c>
      <c r="N669" s="11" t="n">
        <v>0.6</v>
      </c>
      <c r="O669" s="11" t="n">
        <v>0.64</v>
      </c>
      <c r="P669" s="12"/>
      <c r="Q669" s="12"/>
      <c r="R669" s="12"/>
      <c r="S669" s="12"/>
      <c r="T669" s="9" t="s">
        <v>1805</v>
      </c>
      <c r="U669" s="9" t="s">
        <v>1803</v>
      </c>
    </row>
    <row r="670" customFormat="false" ht="15" hidden="false" customHeight="false" outlineLevel="0" collapsed="false">
      <c r="A670" s="7" t="s">
        <v>1312</v>
      </c>
      <c r="B670" s="7" t="s">
        <v>1806</v>
      </c>
      <c r="C670" s="8" t="s">
        <v>796</v>
      </c>
      <c r="D670" s="7" t="s">
        <v>1807</v>
      </c>
      <c r="E670" s="7" t="n">
        <v>1</v>
      </c>
      <c r="F670" s="9" t="s">
        <v>1806</v>
      </c>
      <c r="G670" s="10" t="s">
        <v>1808</v>
      </c>
      <c r="H670" s="9"/>
      <c r="I670" s="9" t="n">
        <v>2</v>
      </c>
      <c r="J670" s="9" t="n">
        <v>0</v>
      </c>
      <c r="K670" s="11" t="n">
        <v>0</v>
      </c>
      <c r="L670" s="11" t="n">
        <v>1</v>
      </c>
      <c r="M670" s="9" t="n">
        <v>0</v>
      </c>
      <c r="N670" s="11" t="n">
        <v>0.25</v>
      </c>
      <c r="O670" s="11" t="n">
        <v>0.487</v>
      </c>
      <c r="P670" s="12"/>
      <c r="Q670" s="12"/>
      <c r="R670" s="12"/>
      <c r="S670" s="12"/>
      <c r="T670" s="9" t="s">
        <v>1809</v>
      </c>
      <c r="U670" s="9" t="s">
        <v>1808</v>
      </c>
    </row>
    <row r="671" customFormat="false" ht="15" hidden="false" customHeight="false" outlineLevel="0" collapsed="false">
      <c r="A671" s="7" t="s">
        <v>1312</v>
      </c>
      <c r="B671" s="7" t="s">
        <v>1810</v>
      </c>
      <c r="C671" s="8" t="s">
        <v>1454</v>
      </c>
      <c r="D671" s="7" t="s">
        <v>1811</v>
      </c>
      <c r="E671" s="7" t="n">
        <v>339</v>
      </c>
      <c r="F671" s="9" t="s">
        <v>1812</v>
      </c>
      <c r="G671" s="10" t="s">
        <v>1813</v>
      </c>
      <c r="H671" s="9" t="s">
        <v>1814</v>
      </c>
      <c r="I671" s="9" t="n">
        <v>7</v>
      </c>
      <c r="J671" s="9" t="n">
        <v>147</v>
      </c>
      <c r="K671" s="11" t="n">
        <v>0.434</v>
      </c>
      <c r="L671" s="11" t="n">
        <v>1</v>
      </c>
      <c r="M671" s="9" t="n">
        <v>0.5</v>
      </c>
      <c r="N671" s="11" t="n">
        <v>1</v>
      </c>
      <c r="O671" s="11" t="n">
        <v>0.85</v>
      </c>
      <c r="P671" s="12"/>
      <c r="Q671" s="12"/>
      <c r="R671" s="12"/>
      <c r="S671" s="12"/>
      <c r="T671" s="9" t="s">
        <v>1815</v>
      </c>
      <c r="U671" s="9" t="s">
        <v>1813</v>
      </c>
    </row>
    <row r="672" customFormat="false" ht="15" hidden="false" customHeight="false" outlineLevel="0" collapsed="false">
      <c r="A672" s="9"/>
      <c r="B672" s="9"/>
      <c r="C672" s="9"/>
      <c r="D672" s="9"/>
      <c r="E672" s="9"/>
      <c r="F672" s="9" t="s">
        <v>1816</v>
      </c>
      <c r="G672" s="10" t="s">
        <v>1817</v>
      </c>
      <c r="H672" s="9" t="s">
        <v>1103</v>
      </c>
      <c r="I672" s="9" t="n">
        <v>7</v>
      </c>
      <c r="J672" s="9" t="n">
        <v>118</v>
      </c>
      <c r="K672" s="11" t="n">
        <v>0.348</v>
      </c>
      <c r="L672" s="11" t="n">
        <v>1</v>
      </c>
      <c r="M672" s="9" t="n">
        <v>0</v>
      </c>
      <c r="N672" s="11" t="n">
        <v>0</v>
      </c>
      <c r="O672" s="11" t="n">
        <v>0.55</v>
      </c>
      <c r="P672" s="12"/>
      <c r="Q672" s="12"/>
      <c r="R672" s="12"/>
      <c r="S672" s="12"/>
      <c r="T672" s="9" t="s">
        <v>1815</v>
      </c>
      <c r="U672" s="9" t="s">
        <v>1817</v>
      </c>
    </row>
    <row r="673" customFormat="false" ht="15" hidden="false" customHeight="false" outlineLevel="0" collapsed="false">
      <c r="A673" s="9"/>
      <c r="B673" s="9"/>
      <c r="C673" s="9"/>
      <c r="D673" s="9"/>
      <c r="E673" s="9"/>
      <c r="F673" s="9" t="s">
        <v>1818</v>
      </c>
      <c r="G673" s="10" t="s">
        <v>1819</v>
      </c>
      <c r="H673" s="9"/>
      <c r="I673" s="9" t="n">
        <v>1</v>
      </c>
      <c r="J673" s="9" t="n">
        <v>0</v>
      </c>
      <c r="K673" s="11" t="n">
        <v>0</v>
      </c>
      <c r="L673" s="11" t="n">
        <v>1</v>
      </c>
      <c r="M673" s="9" t="n">
        <v>0</v>
      </c>
      <c r="N673" s="11" t="n">
        <v>0</v>
      </c>
      <c r="O673" s="11" t="n">
        <v>0.45</v>
      </c>
      <c r="P673" s="12"/>
      <c r="Q673" s="12"/>
      <c r="R673" s="12"/>
      <c r="S673" s="12"/>
      <c r="T673" s="9" t="s">
        <v>1815</v>
      </c>
      <c r="U673" s="9" t="s">
        <v>1819</v>
      </c>
    </row>
    <row r="674" customFormat="false" ht="15" hidden="false" customHeight="false" outlineLevel="0" collapsed="false">
      <c r="A674" s="7" t="s">
        <v>1820</v>
      </c>
      <c r="B674" s="7" t="s">
        <v>1821</v>
      </c>
      <c r="C674" s="8" t="s">
        <v>1822</v>
      </c>
      <c r="D674" s="7" t="s">
        <v>1823</v>
      </c>
      <c r="E674" s="7" t="n">
        <v>46</v>
      </c>
      <c r="F674" s="9" t="s">
        <v>1821</v>
      </c>
      <c r="G674" s="10" t="s">
        <v>1824</v>
      </c>
      <c r="H674" s="9" t="s">
        <v>1822</v>
      </c>
      <c r="I674" s="9" t="n">
        <v>5</v>
      </c>
      <c r="J674" s="9" t="n">
        <v>2</v>
      </c>
      <c r="K674" s="11" t="n">
        <v>0.062</v>
      </c>
      <c r="L674" s="11" t="n">
        <v>1</v>
      </c>
      <c r="M674" s="9" t="n">
        <v>1</v>
      </c>
      <c r="N674" s="11" t="n">
        <v>0.833</v>
      </c>
      <c r="O674" s="11" t="n">
        <v>0.925</v>
      </c>
      <c r="P674" s="12"/>
      <c r="Q674" s="12"/>
      <c r="R674" s="12"/>
      <c r="S674" s="12"/>
      <c r="T674" s="9" t="s">
        <v>1825</v>
      </c>
      <c r="U674" s="9" t="s">
        <v>1824</v>
      </c>
    </row>
    <row r="675" customFormat="false" ht="15" hidden="false" customHeight="false" outlineLevel="0" collapsed="false">
      <c r="A675" s="9"/>
      <c r="B675" s="9"/>
      <c r="C675" s="9"/>
      <c r="D675" s="9"/>
      <c r="E675" s="9"/>
      <c r="F675" s="9" t="s">
        <v>1821</v>
      </c>
      <c r="G675" s="10" t="s">
        <v>1826</v>
      </c>
      <c r="H675" s="9"/>
      <c r="I675" s="9" t="n">
        <v>1</v>
      </c>
      <c r="J675" s="9" t="n">
        <v>0</v>
      </c>
      <c r="K675" s="11" t="n">
        <v>0</v>
      </c>
      <c r="L675" s="11" t="n">
        <v>1</v>
      </c>
      <c r="M675" s="9" t="n">
        <v>0</v>
      </c>
      <c r="N675" s="11" t="n">
        <v>1</v>
      </c>
      <c r="O675" s="11" t="n">
        <v>0.6</v>
      </c>
      <c r="P675" s="12"/>
      <c r="Q675" s="12"/>
      <c r="R675" s="12"/>
      <c r="S675" s="12"/>
      <c r="T675" s="9" t="s">
        <v>1825</v>
      </c>
      <c r="U675" s="9" t="s">
        <v>1826</v>
      </c>
    </row>
    <row r="676" customFormat="false" ht="15" hidden="false" customHeight="false" outlineLevel="0" collapsed="false">
      <c r="A676" s="7" t="s">
        <v>1820</v>
      </c>
      <c r="B676" s="7" t="s">
        <v>1827</v>
      </c>
      <c r="C676" s="8" t="s">
        <v>81</v>
      </c>
      <c r="D676" s="7" t="s">
        <v>1828</v>
      </c>
      <c r="E676" s="7" t="n">
        <v>117</v>
      </c>
      <c r="F676" s="9" t="s">
        <v>1827</v>
      </c>
      <c r="G676" s="10" t="s">
        <v>1829</v>
      </c>
      <c r="H676" s="9" t="s">
        <v>81</v>
      </c>
      <c r="I676" s="9" t="n">
        <v>4</v>
      </c>
      <c r="J676" s="9" t="n">
        <v>6</v>
      </c>
      <c r="K676" s="11" t="n">
        <v>0.06</v>
      </c>
      <c r="L676" s="11" t="n">
        <v>1</v>
      </c>
      <c r="M676" s="9" t="n">
        <v>1</v>
      </c>
      <c r="N676" s="11" t="n">
        <v>1</v>
      </c>
      <c r="O676" s="11" t="n">
        <v>0.95</v>
      </c>
      <c r="P676" s="12"/>
      <c r="Q676" s="12"/>
      <c r="R676" s="12"/>
      <c r="S676" s="12"/>
      <c r="T676" s="9" t="s">
        <v>1830</v>
      </c>
      <c r="U676" s="9" t="s">
        <v>1829</v>
      </c>
    </row>
    <row r="677" customFormat="false" ht="15" hidden="false" customHeight="false" outlineLevel="0" collapsed="false">
      <c r="A677" s="9"/>
      <c r="B677" s="9"/>
      <c r="C677" s="9"/>
      <c r="D677" s="9"/>
      <c r="E677" s="9"/>
      <c r="F677" s="9" t="s">
        <v>1827</v>
      </c>
      <c r="G677" s="10" t="s">
        <v>1831</v>
      </c>
      <c r="H677" s="9" t="s">
        <v>81</v>
      </c>
      <c r="I677" s="9" t="n">
        <v>9</v>
      </c>
      <c r="J677" s="9" t="n">
        <v>57</v>
      </c>
      <c r="K677" s="11" t="n">
        <v>0.57</v>
      </c>
      <c r="L677" s="11" t="n">
        <v>1</v>
      </c>
      <c r="M677" s="9" t="n">
        <v>1</v>
      </c>
      <c r="N677" s="11" t="n">
        <v>0.615</v>
      </c>
      <c r="O677" s="11" t="n">
        <v>0.942</v>
      </c>
      <c r="P677" s="12"/>
      <c r="Q677" s="12"/>
      <c r="R677" s="12"/>
      <c r="S677" s="12"/>
      <c r="T677" s="9" t="s">
        <v>1830</v>
      </c>
      <c r="U677" s="9" t="s">
        <v>1831</v>
      </c>
    </row>
    <row r="678" customFormat="false" ht="15" hidden="false" customHeight="false" outlineLevel="0" collapsed="false">
      <c r="A678" s="9"/>
      <c r="B678" s="9"/>
      <c r="C678" s="9"/>
      <c r="D678" s="9"/>
      <c r="E678" s="9"/>
      <c r="F678" s="9" t="s">
        <v>1827</v>
      </c>
      <c r="G678" s="10" t="s">
        <v>1832</v>
      </c>
      <c r="H678" s="9"/>
      <c r="I678" s="9" t="n">
        <v>1</v>
      </c>
      <c r="J678" s="9" t="n">
        <v>0</v>
      </c>
      <c r="K678" s="11" t="n">
        <v>0</v>
      </c>
      <c r="L678" s="11" t="n">
        <v>1</v>
      </c>
      <c r="M678" s="9" t="n">
        <v>0</v>
      </c>
      <c r="N678" s="11" t="n">
        <v>1</v>
      </c>
      <c r="O678" s="11" t="n">
        <v>0.6</v>
      </c>
      <c r="P678" s="12"/>
      <c r="Q678" s="12"/>
      <c r="R678" s="12"/>
      <c r="S678" s="12"/>
      <c r="T678" s="9" t="s">
        <v>1830</v>
      </c>
      <c r="U678" s="9" t="s">
        <v>1832</v>
      </c>
    </row>
    <row r="679" customFormat="false" ht="15" hidden="false" customHeight="false" outlineLevel="0" collapsed="false">
      <c r="A679" s="7" t="s">
        <v>1820</v>
      </c>
      <c r="B679" s="7" t="s">
        <v>1833</v>
      </c>
      <c r="C679" s="8" t="s">
        <v>1834</v>
      </c>
      <c r="D679" s="7" t="s">
        <v>1835</v>
      </c>
      <c r="E679" s="7" t="n">
        <v>452</v>
      </c>
      <c r="F679" s="9" t="s">
        <v>1836</v>
      </c>
      <c r="G679" s="10" t="s">
        <v>1837</v>
      </c>
      <c r="H679" s="9" t="s">
        <v>1834</v>
      </c>
      <c r="I679" s="9" t="n">
        <v>1</v>
      </c>
      <c r="J679" s="9" t="n">
        <v>20</v>
      </c>
      <c r="K679" s="11" t="n">
        <v>0.056</v>
      </c>
      <c r="L679" s="11" t="n">
        <v>1</v>
      </c>
      <c r="M679" s="9" t="n">
        <v>1</v>
      </c>
      <c r="N679" s="11" t="n">
        <v>1</v>
      </c>
      <c r="O679" s="11" t="n">
        <v>0.95</v>
      </c>
      <c r="P679" s="12"/>
      <c r="Q679" s="12"/>
      <c r="R679" s="12"/>
      <c r="S679" s="12"/>
      <c r="T679" s="9" t="s">
        <v>1838</v>
      </c>
      <c r="U679" s="9" t="s">
        <v>1837</v>
      </c>
    </row>
    <row r="680" customFormat="false" ht="15" hidden="false" customHeight="false" outlineLevel="0" collapsed="false">
      <c r="A680" s="9"/>
      <c r="B680" s="9"/>
      <c r="C680" s="9"/>
      <c r="D680" s="9"/>
      <c r="E680" s="9"/>
      <c r="F680" s="9" t="s">
        <v>1839</v>
      </c>
      <c r="G680" s="10" t="s">
        <v>1840</v>
      </c>
      <c r="H680" s="9" t="s">
        <v>1834</v>
      </c>
      <c r="I680" s="9" t="n">
        <v>16</v>
      </c>
      <c r="J680" s="9" t="n">
        <v>157</v>
      </c>
      <c r="K680" s="11" t="n">
        <v>0.44</v>
      </c>
      <c r="L680" s="11" t="n">
        <v>1</v>
      </c>
      <c r="M680" s="9" t="n">
        <v>1</v>
      </c>
      <c r="N680" s="11" t="n">
        <v>0.619</v>
      </c>
      <c r="O680" s="11" t="n">
        <v>0.943</v>
      </c>
      <c r="P680" s="12"/>
      <c r="Q680" s="12"/>
      <c r="R680" s="12"/>
      <c r="S680" s="12"/>
      <c r="T680" s="9" t="s">
        <v>1838</v>
      </c>
      <c r="U680" s="9" t="s">
        <v>1840</v>
      </c>
    </row>
    <row r="681" customFormat="false" ht="15" hidden="false" customHeight="false" outlineLevel="0" collapsed="false">
      <c r="A681" s="9"/>
      <c r="B681" s="9"/>
      <c r="C681" s="9"/>
      <c r="D681" s="9"/>
      <c r="E681" s="9"/>
      <c r="F681" s="9" t="s">
        <v>1841</v>
      </c>
      <c r="G681" s="10" t="s">
        <v>1842</v>
      </c>
      <c r="H681" s="9"/>
      <c r="I681" s="9" t="n">
        <v>2</v>
      </c>
      <c r="J681" s="9" t="n">
        <v>7</v>
      </c>
      <c r="K681" s="11" t="n">
        <v>0.02</v>
      </c>
      <c r="L681" s="11" t="n">
        <v>1</v>
      </c>
      <c r="M681" s="9" t="n">
        <v>0</v>
      </c>
      <c r="N681" s="11" t="n">
        <v>0.8</v>
      </c>
      <c r="O681" s="11" t="n">
        <v>0.57</v>
      </c>
      <c r="P681" s="12"/>
      <c r="Q681" s="12"/>
      <c r="R681" s="12"/>
      <c r="S681" s="12"/>
      <c r="T681" s="9" t="s">
        <v>1838</v>
      </c>
      <c r="U681" s="9" t="s">
        <v>1842</v>
      </c>
    </row>
    <row r="682" customFormat="false" ht="15" hidden="false" customHeight="false" outlineLevel="0" collapsed="false">
      <c r="A682" s="7" t="s">
        <v>1820</v>
      </c>
      <c r="B682" s="7" t="s">
        <v>1843</v>
      </c>
      <c r="C682" s="8" t="s">
        <v>1844</v>
      </c>
      <c r="D682" s="7" t="s">
        <v>1845</v>
      </c>
      <c r="E682" s="7" t="n">
        <v>8</v>
      </c>
      <c r="F682" s="9" t="s">
        <v>1843</v>
      </c>
      <c r="G682" s="10" t="s">
        <v>1846</v>
      </c>
      <c r="H682" s="9" t="s">
        <v>1844</v>
      </c>
      <c r="I682" s="9" t="n">
        <v>1</v>
      </c>
      <c r="J682" s="9" t="n">
        <v>0</v>
      </c>
      <c r="K682" s="11" t="n">
        <v>0</v>
      </c>
      <c r="L682" s="11" t="n">
        <v>1</v>
      </c>
      <c r="M682" s="9" t="n">
        <v>1</v>
      </c>
      <c r="N682" s="11" t="n">
        <v>1</v>
      </c>
      <c r="O682" s="11" t="n">
        <v>0.9</v>
      </c>
      <c r="P682" s="12"/>
      <c r="Q682" s="12"/>
      <c r="R682" s="12"/>
      <c r="S682" s="12"/>
      <c r="T682" s="9" t="s">
        <v>1847</v>
      </c>
      <c r="U682" s="9" t="s">
        <v>1846</v>
      </c>
    </row>
    <row r="683" customFormat="false" ht="15" hidden="false" customHeight="false" outlineLevel="0" collapsed="false">
      <c r="A683" s="9"/>
      <c r="B683" s="9"/>
      <c r="C683" s="9"/>
      <c r="D683" s="9"/>
      <c r="E683" s="9"/>
      <c r="F683" s="9" t="s">
        <v>1848</v>
      </c>
      <c r="G683" s="10" t="s">
        <v>1849</v>
      </c>
      <c r="H683" s="9" t="s">
        <v>115</v>
      </c>
      <c r="I683" s="9" t="n">
        <v>1</v>
      </c>
      <c r="J683" s="9" t="n">
        <v>0</v>
      </c>
      <c r="K683" s="11" t="n">
        <v>0</v>
      </c>
      <c r="L683" s="11" t="n">
        <v>1</v>
      </c>
      <c r="M683" s="9" t="n">
        <v>0.5</v>
      </c>
      <c r="N683" s="11" t="n">
        <v>0.667</v>
      </c>
      <c r="O683" s="11" t="n">
        <v>0.7</v>
      </c>
      <c r="P683" s="12"/>
      <c r="Q683" s="12"/>
      <c r="R683" s="12"/>
      <c r="S683" s="12"/>
      <c r="T683" s="9" t="s">
        <v>1847</v>
      </c>
      <c r="U683" s="9" t="s">
        <v>1849</v>
      </c>
    </row>
    <row r="684" customFormat="false" ht="15" hidden="false" customHeight="false" outlineLevel="0" collapsed="false">
      <c r="A684" s="9"/>
      <c r="B684" s="9"/>
      <c r="C684" s="9"/>
      <c r="D684" s="9"/>
      <c r="E684" s="9"/>
      <c r="F684" s="9" t="s">
        <v>1850</v>
      </c>
      <c r="G684" s="10" t="s">
        <v>1851</v>
      </c>
      <c r="H684" s="9"/>
      <c r="I684" s="9" t="n">
        <v>2</v>
      </c>
      <c r="J684" s="9" t="n">
        <v>2</v>
      </c>
      <c r="K684" s="11" t="n">
        <v>0.25</v>
      </c>
      <c r="L684" s="11" t="n">
        <v>1</v>
      </c>
      <c r="M684" s="9" t="n">
        <v>0</v>
      </c>
      <c r="N684" s="11" t="n">
        <v>0.75</v>
      </c>
      <c r="O684" s="11" t="n">
        <v>0.662</v>
      </c>
      <c r="P684" s="12"/>
      <c r="Q684" s="12"/>
      <c r="R684" s="12"/>
      <c r="S684" s="12"/>
      <c r="T684" s="9" t="s">
        <v>1847</v>
      </c>
      <c r="U684" s="9" t="s">
        <v>1851</v>
      </c>
    </row>
    <row r="685" customFormat="false" ht="15" hidden="false" customHeight="false" outlineLevel="0" collapsed="false">
      <c r="A685" s="7" t="s">
        <v>1820</v>
      </c>
      <c r="B685" s="7" t="s">
        <v>1852</v>
      </c>
      <c r="C685" s="8" t="s">
        <v>997</v>
      </c>
      <c r="D685" s="7" t="s">
        <v>1853</v>
      </c>
      <c r="E685" s="7" t="n">
        <v>2132</v>
      </c>
      <c r="F685" s="9" t="s">
        <v>1852</v>
      </c>
      <c r="G685" s="10" t="s">
        <v>1854</v>
      </c>
      <c r="H685" s="9" t="s">
        <v>1000</v>
      </c>
      <c r="I685" s="9" t="n">
        <v>1</v>
      </c>
      <c r="J685" s="9" t="n">
        <v>0</v>
      </c>
      <c r="K685" s="11" t="n">
        <v>0</v>
      </c>
      <c r="L685" s="11" t="n">
        <v>1</v>
      </c>
      <c r="M685" s="9" t="n">
        <v>1</v>
      </c>
      <c r="N685" s="11" t="n">
        <v>0.667</v>
      </c>
      <c r="O685" s="11" t="n">
        <v>0.85</v>
      </c>
      <c r="P685" s="12"/>
      <c r="Q685" s="12"/>
      <c r="R685" s="12"/>
      <c r="S685" s="12"/>
      <c r="T685" s="9" t="s">
        <v>1855</v>
      </c>
      <c r="U685" s="9" t="s">
        <v>1854</v>
      </c>
    </row>
    <row r="686" customFormat="false" ht="15" hidden="false" customHeight="false" outlineLevel="0" collapsed="false">
      <c r="A686" s="9"/>
      <c r="B686" s="9"/>
      <c r="C686" s="9"/>
      <c r="D686" s="9"/>
      <c r="E686" s="9"/>
      <c r="F686" s="9" t="s">
        <v>1852</v>
      </c>
      <c r="G686" s="10" t="s">
        <v>1856</v>
      </c>
      <c r="H686" s="9"/>
      <c r="I686" s="9" t="n">
        <v>1</v>
      </c>
      <c r="J686" s="9" t="n">
        <v>0</v>
      </c>
      <c r="K686" s="11" t="n">
        <v>0</v>
      </c>
      <c r="L686" s="11" t="n">
        <v>1</v>
      </c>
      <c r="M686" s="9" t="n">
        <v>0</v>
      </c>
      <c r="N686" s="11" t="n">
        <v>0.5</v>
      </c>
      <c r="O686" s="11" t="n">
        <v>0.525</v>
      </c>
      <c r="P686" s="12"/>
      <c r="Q686" s="12"/>
      <c r="R686" s="12"/>
      <c r="S686" s="12"/>
      <c r="T686" s="9" t="s">
        <v>1855</v>
      </c>
      <c r="U686" s="9" t="s">
        <v>1856</v>
      </c>
    </row>
    <row r="687" customFormat="false" ht="15" hidden="false" customHeight="false" outlineLevel="0" collapsed="false">
      <c r="A687" s="7" t="s">
        <v>1820</v>
      </c>
      <c r="B687" s="7" t="s">
        <v>1857</v>
      </c>
      <c r="C687" s="8" t="s">
        <v>727</v>
      </c>
      <c r="D687" s="7" t="s">
        <v>1858</v>
      </c>
      <c r="E687" s="7" t="n">
        <v>640</v>
      </c>
      <c r="F687" s="9" t="s">
        <v>1857</v>
      </c>
      <c r="G687" s="10" t="s">
        <v>1859</v>
      </c>
      <c r="H687" s="9" t="s">
        <v>727</v>
      </c>
      <c r="I687" s="9" t="n">
        <v>2</v>
      </c>
      <c r="J687" s="9" t="n">
        <v>1</v>
      </c>
      <c r="K687" s="11" t="n">
        <v>0.002</v>
      </c>
      <c r="L687" s="11" t="n">
        <v>1</v>
      </c>
      <c r="M687" s="9" t="n">
        <v>1</v>
      </c>
      <c r="N687" s="11" t="n">
        <v>1</v>
      </c>
      <c r="O687" s="11" t="n">
        <v>0.9</v>
      </c>
      <c r="P687" s="12"/>
      <c r="Q687" s="12"/>
      <c r="R687" s="12"/>
      <c r="S687" s="12"/>
      <c r="T687" s="9" t="s">
        <v>1860</v>
      </c>
      <c r="U687" s="9" t="s">
        <v>1859</v>
      </c>
    </row>
    <row r="688" customFormat="false" ht="15" hidden="false" customHeight="false" outlineLevel="0" collapsed="false">
      <c r="A688" s="7" t="s">
        <v>1820</v>
      </c>
      <c r="B688" s="7" t="s">
        <v>1861</v>
      </c>
      <c r="C688" s="8" t="s">
        <v>1862</v>
      </c>
      <c r="D688" s="7" t="s">
        <v>1863</v>
      </c>
      <c r="E688" s="7" t="n">
        <v>55</v>
      </c>
      <c r="F688" s="9" t="s">
        <v>1861</v>
      </c>
      <c r="G688" s="10" t="s">
        <v>1864</v>
      </c>
      <c r="H688" s="9" t="s">
        <v>1862</v>
      </c>
      <c r="I688" s="9" t="n">
        <v>1</v>
      </c>
      <c r="J688" s="9" t="n">
        <v>0</v>
      </c>
      <c r="K688" s="11" t="n">
        <v>0</v>
      </c>
      <c r="L688" s="11" t="n">
        <v>1</v>
      </c>
      <c r="M688" s="9" t="n">
        <v>1</v>
      </c>
      <c r="N688" s="11" t="n">
        <v>1</v>
      </c>
      <c r="O688" s="11" t="n">
        <v>0.9</v>
      </c>
      <c r="P688" s="12"/>
      <c r="Q688" s="12"/>
      <c r="R688" s="12"/>
      <c r="S688" s="12"/>
      <c r="T688" s="9" t="s">
        <v>1865</v>
      </c>
      <c r="U688" s="9" t="s">
        <v>1864</v>
      </c>
    </row>
    <row r="689" customFormat="false" ht="15" hidden="false" customHeight="false" outlineLevel="0" collapsed="false">
      <c r="A689" s="9"/>
      <c r="B689" s="9"/>
      <c r="C689" s="9"/>
      <c r="D689" s="9"/>
      <c r="E689" s="9"/>
      <c r="F689" s="9" t="s">
        <v>1861</v>
      </c>
      <c r="G689" s="10" t="s">
        <v>1866</v>
      </c>
      <c r="H689" s="9"/>
      <c r="I689" s="9" t="n">
        <v>2</v>
      </c>
      <c r="J689" s="9" t="n">
        <v>1</v>
      </c>
      <c r="K689" s="11" t="n">
        <v>0.018</v>
      </c>
      <c r="L689" s="11" t="n">
        <v>1</v>
      </c>
      <c r="M689" s="9" t="n">
        <v>0</v>
      </c>
      <c r="N689" s="11" t="n">
        <v>1</v>
      </c>
      <c r="O689" s="11" t="n">
        <v>0.6</v>
      </c>
      <c r="P689" s="12"/>
      <c r="Q689" s="12"/>
      <c r="R689" s="12"/>
      <c r="S689" s="12"/>
      <c r="T689" s="9" t="s">
        <v>1865</v>
      </c>
      <c r="U689" s="9" t="s">
        <v>1866</v>
      </c>
    </row>
    <row r="690" customFormat="false" ht="15" hidden="false" customHeight="false" outlineLevel="0" collapsed="false">
      <c r="A690" s="9"/>
      <c r="B690" s="9"/>
      <c r="C690" s="9"/>
      <c r="D690" s="9"/>
      <c r="E690" s="9"/>
      <c r="F690" s="9" t="s">
        <v>1861</v>
      </c>
      <c r="G690" s="10" t="s">
        <v>1867</v>
      </c>
      <c r="H690" s="9" t="s">
        <v>1868</v>
      </c>
      <c r="I690" s="9" t="n">
        <v>1</v>
      </c>
      <c r="J690" s="9" t="n">
        <v>0</v>
      </c>
      <c r="K690" s="11" t="n">
        <v>0</v>
      </c>
      <c r="L690" s="11" t="n">
        <v>1</v>
      </c>
      <c r="M690" s="9" t="n">
        <v>0</v>
      </c>
      <c r="N690" s="11" t="n">
        <v>1</v>
      </c>
      <c r="O690" s="11" t="n">
        <v>0.6</v>
      </c>
      <c r="P690" s="12"/>
      <c r="Q690" s="12"/>
      <c r="R690" s="12"/>
      <c r="S690" s="12"/>
      <c r="T690" s="9" t="s">
        <v>1865</v>
      </c>
      <c r="U690" s="9" t="s">
        <v>1867</v>
      </c>
    </row>
    <row r="691" customFormat="false" ht="15" hidden="false" customHeight="false" outlineLevel="0" collapsed="false">
      <c r="A691" s="9"/>
      <c r="B691" s="9"/>
      <c r="C691" s="9"/>
      <c r="D691" s="9"/>
      <c r="E691" s="9"/>
      <c r="F691" s="9" t="s">
        <v>1869</v>
      </c>
      <c r="G691" s="10" t="s">
        <v>1870</v>
      </c>
      <c r="H691" s="9"/>
      <c r="I691" s="9" t="n">
        <v>2</v>
      </c>
      <c r="J691" s="9" t="n">
        <v>0</v>
      </c>
      <c r="K691" s="11" t="n">
        <v>0</v>
      </c>
      <c r="L691" s="11" t="n">
        <v>1</v>
      </c>
      <c r="M691" s="9" t="n">
        <v>0</v>
      </c>
      <c r="N691" s="11" t="n">
        <v>1</v>
      </c>
      <c r="O691" s="11" t="n">
        <v>0.6</v>
      </c>
      <c r="P691" s="12"/>
      <c r="Q691" s="12"/>
      <c r="R691" s="12"/>
      <c r="S691" s="12"/>
      <c r="T691" s="9" t="s">
        <v>1865</v>
      </c>
      <c r="U691" s="9" t="s">
        <v>1870</v>
      </c>
    </row>
    <row r="692" customFormat="false" ht="15" hidden="false" customHeight="false" outlineLevel="0" collapsed="false">
      <c r="A692" s="7" t="s">
        <v>1820</v>
      </c>
      <c r="B692" s="7" t="s">
        <v>1871</v>
      </c>
      <c r="C692" s="8" t="s">
        <v>1632</v>
      </c>
      <c r="D692" s="7" t="s">
        <v>1872</v>
      </c>
      <c r="E692" s="7" t="n">
        <v>382</v>
      </c>
      <c r="F692" s="9" t="s">
        <v>1873</v>
      </c>
      <c r="G692" s="10" t="s">
        <v>1874</v>
      </c>
      <c r="H692" s="9" t="s">
        <v>1875</v>
      </c>
      <c r="I692" s="9" t="n">
        <v>1</v>
      </c>
      <c r="J692" s="9" t="n">
        <v>0</v>
      </c>
      <c r="K692" s="11" t="n">
        <v>0</v>
      </c>
      <c r="L692" s="11" t="n">
        <v>1</v>
      </c>
      <c r="M692" s="9" t="n">
        <v>1</v>
      </c>
      <c r="N692" s="11" t="n">
        <v>1</v>
      </c>
      <c r="O692" s="11" t="n">
        <v>0.9</v>
      </c>
      <c r="P692" s="12"/>
      <c r="Q692" s="12"/>
      <c r="R692" s="12"/>
      <c r="S692" s="12"/>
      <c r="T692" s="9" t="s">
        <v>1876</v>
      </c>
      <c r="U692" s="9" t="s">
        <v>1874</v>
      </c>
    </row>
    <row r="693" customFormat="false" ht="15" hidden="false" customHeight="false" outlineLevel="0" collapsed="false">
      <c r="A693" s="7" t="s">
        <v>1820</v>
      </c>
      <c r="B693" s="7" t="s">
        <v>1877</v>
      </c>
      <c r="C693" s="8" t="s">
        <v>1878</v>
      </c>
      <c r="D693" s="7" t="s">
        <v>1879</v>
      </c>
      <c r="E693" s="7" t="n">
        <v>501</v>
      </c>
      <c r="F693" s="9" t="s">
        <v>1877</v>
      </c>
      <c r="G693" s="10" t="s">
        <v>1880</v>
      </c>
      <c r="H693" s="9" t="s">
        <v>1878</v>
      </c>
      <c r="I693" s="9" t="n">
        <v>1</v>
      </c>
      <c r="J693" s="9" t="n">
        <v>0</v>
      </c>
      <c r="K693" s="11" t="n">
        <v>0</v>
      </c>
      <c r="L693" s="11" t="n">
        <v>1</v>
      </c>
      <c r="M693" s="9" t="n">
        <v>1</v>
      </c>
      <c r="N693" s="11" t="n">
        <v>0.667</v>
      </c>
      <c r="O693" s="11" t="n">
        <v>0.85</v>
      </c>
      <c r="P693" s="12"/>
      <c r="Q693" s="12"/>
      <c r="R693" s="12"/>
      <c r="S693" s="12"/>
      <c r="T693" s="9" t="s">
        <v>1881</v>
      </c>
      <c r="U693" s="9" t="s">
        <v>1880</v>
      </c>
    </row>
    <row r="694" customFormat="false" ht="15" hidden="false" customHeight="false" outlineLevel="0" collapsed="false">
      <c r="A694" s="9"/>
      <c r="B694" s="9"/>
      <c r="C694" s="9"/>
      <c r="D694" s="9"/>
      <c r="E694" s="9"/>
      <c r="F694" s="9" t="s">
        <v>1877</v>
      </c>
      <c r="G694" s="10" t="s">
        <v>1882</v>
      </c>
      <c r="H694" s="9" t="s">
        <v>428</v>
      </c>
      <c r="I694" s="9" t="n">
        <v>59</v>
      </c>
      <c r="J694" s="9" t="n">
        <v>1415</v>
      </c>
      <c r="K694" s="11" t="n">
        <v>3.173</v>
      </c>
      <c r="L694" s="11" t="n">
        <v>1</v>
      </c>
      <c r="M694" s="9" t="n">
        <v>1</v>
      </c>
      <c r="N694" s="11" t="n">
        <v>0.128</v>
      </c>
      <c r="O694" s="11" t="n">
        <v>0.769</v>
      </c>
      <c r="P694" s="12"/>
      <c r="Q694" s="12"/>
      <c r="R694" s="12"/>
      <c r="S694" s="12"/>
      <c r="T694" s="9" t="s">
        <v>1881</v>
      </c>
      <c r="U694" s="9" t="s">
        <v>1882</v>
      </c>
    </row>
    <row r="695" customFormat="false" ht="15" hidden="false" customHeight="false" outlineLevel="0" collapsed="false">
      <c r="A695" s="9"/>
      <c r="B695" s="9"/>
      <c r="C695" s="9"/>
      <c r="D695" s="9"/>
      <c r="E695" s="9"/>
      <c r="F695" s="9" t="s">
        <v>1883</v>
      </c>
      <c r="G695" s="10" t="s">
        <v>1884</v>
      </c>
      <c r="H695" s="9" t="s">
        <v>1885</v>
      </c>
      <c r="I695" s="9" t="n">
        <v>5</v>
      </c>
      <c r="J695" s="9" t="n">
        <v>59</v>
      </c>
      <c r="K695" s="11" t="n">
        <v>0.132</v>
      </c>
      <c r="L695" s="11" t="n">
        <v>1</v>
      </c>
      <c r="M695" s="9" t="n">
        <v>0</v>
      </c>
      <c r="N695" s="11" t="n">
        <v>0.75</v>
      </c>
      <c r="O695" s="11" t="n">
        <v>0.662</v>
      </c>
      <c r="P695" s="12"/>
      <c r="Q695" s="12"/>
      <c r="R695" s="12"/>
      <c r="S695" s="12"/>
      <c r="T695" s="9" t="s">
        <v>1881</v>
      </c>
      <c r="U695" s="9" t="s">
        <v>1884</v>
      </c>
    </row>
    <row r="696" customFormat="false" ht="15" hidden="false" customHeight="false" outlineLevel="0" collapsed="false">
      <c r="A696" s="9"/>
      <c r="B696" s="9"/>
      <c r="C696" s="9"/>
      <c r="D696" s="9"/>
      <c r="E696" s="9"/>
      <c r="F696" s="9" t="s">
        <v>1886</v>
      </c>
      <c r="G696" s="10" t="s">
        <v>1887</v>
      </c>
      <c r="H696" s="9"/>
      <c r="I696" s="9" t="n">
        <v>1</v>
      </c>
      <c r="J696" s="9" t="n">
        <v>37</v>
      </c>
      <c r="K696" s="11" t="n">
        <v>0.083</v>
      </c>
      <c r="L696" s="11" t="n">
        <v>1</v>
      </c>
      <c r="M696" s="9" t="n">
        <v>0</v>
      </c>
      <c r="N696" s="11" t="n">
        <v>1</v>
      </c>
      <c r="O696" s="11" t="n">
        <v>0.65</v>
      </c>
      <c r="P696" s="12"/>
      <c r="Q696" s="12"/>
      <c r="R696" s="12"/>
      <c r="S696" s="12"/>
      <c r="T696" s="9" t="s">
        <v>1881</v>
      </c>
      <c r="U696" s="9" t="s">
        <v>1887</v>
      </c>
    </row>
    <row r="697" customFormat="false" ht="15" hidden="false" customHeight="false" outlineLevel="0" collapsed="false">
      <c r="A697" s="9"/>
      <c r="B697" s="9"/>
      <c r="C697" s="9"/>
      <c r="D697" s="9"/>
      <c r="E697" s="9"/>
      <c r="F697" s="9" t="s">
        <v>1877</v>
      </c>
      <c r="G697" s="10" t="s">
        <v>1888</v>
      </c>
      <c r="H697" s="9"/>
      <c r="I697" s="9" t="n">
        <v>5</v>
      </c>
      <c r="J697" s="9" t="n">
        <v>2</v>
      </c>
      <c r="K697" s="11" t="n">
        <v>0.004</v>
      </c>
      <c r="L697" s="11" t="n">
        <v>1</v>
      </c>
      <c r="M697" s="9" t="n">
        <v>0</v>
      </c>
      <c r="N697" s="11" t="n">
        <v>1</v>
      </c>
      <c r="O697" s="11" t="n">
        <v>0.6</v>
      </c>
      <c r="P697" s="12"/>
      <c r="Q697" s="12"/>
      <c r="R697" s="12"/>
      <c r="S697" s="12"/>
      <c r="T697" s="9" t="s">
        <v>1881</v>
      </c>
      <c r="U697" s="9" t="s">
        <v>1888</v>
      </c>
    </row>
    <row r="698" customFormat="false" ht="15" hidden="false" customHeight="false" outlineLevel="0" collapsed="false">
      <c r="A698" s="7" t="s">
        <v>1820</v>
      </c>
      <c r="B698" s="7" t="s">
        <v>1889</v>
      </c>
      <c r="C698" s="8" t="s">
        <v>299</v>
      </c>
      <c r="D698" s="7" t="s">
        <v>1890</v>
      </c>
      <c r="E698" s="7" t="n">
        <v>21460</v>
      </c>
      <c r="F698" s="9" t="s">
        <v>1889</v>
      </c>
      <c r="G698" s="10" t="s">
        <v>1891</v>
      </c>
      <c r="H698" s="9" t="s">
        <v>299</v>
      </c>
      <c r="I698" s="9" t="n">
        <v>4</v>
      </c>
      <c r="J698" s="9" t="n">
        <v>1</v>
      </c>
      <c r="K698" s="11" t="n">
        <v>0</v>
      </c>
      <c r="L698" s="11" t="n">
        <v>1</v>
      </c>
      <c r="M698" s="9" t="n">
        <v>1</v>
      </c>
      <c r="N698" s="11" t="n">
        <v>0.875</v>
      </c>
      <c r="O698" s="11" t="n">
        <v>0.881</v>
      </c>
      <c r="P698" s="12"/>
      <c r="Q698" s="12"/>
      <c r="R698" s="12"/>
      <c r="S698" s="12"/>
      <c r="T698" s="9" t="s">
        <v>1892</v>
      </c>
      <c r="U698" s="9" t="s">
        <v>1891</v>
      </c>
    </row>
    <row r="699" customFormat="false" ht="15" hidden="false" customHeight="false" outlineLevel="0" collapsed="false">
      <c r="A699" s="9"/>
      <c r="B699" s="9"/>
      <c r="C699" s="9"/>
      <c r="D699" s="9"/>
      <c r="E699" s="9"/>
      <c r="F699" s="9" t="s">
        <v>1889</v>
      </c>
      <c r="G699" s="10" t="s">
        <v>1893</v>
      </c>
      <c r="H699" s="9"/>
      <c r="I699" s="9" t="n">
        <v>1</v>
      </c>
      <c r="J699" s="9" t="n">
        <v>0</v>
      </c>
      <c r="K699" s="11" t="n">
        <v>0</v>
      </c>
      <c r="L699" s="11" t="n">
        <v>1</v>
      </c>
      <c r="M699" s="9" t="n">
        <v>0</v>
      </c>
      <c r="N699" s="11" t="n">
        <v>1</v>
      </c>
      <c r="O699" s="11" t="n">
        <v>0.6</v>
      </c>
      <c r="P699" s="12"/>
      <c r="Q699" s="12"/>
      <c r="R699" s="12"/>
      <c r="S699" s="12"/>
      <c r="T699" s="9" t="s">
        <v>1892</v>
      </c>
      <c r="U699" s="9" t="s">
        <v>1893</v>
      </c>
    </row>
    <row r="700" customFormat="false" ht="15" hidden="false" customHeight="false" outlineLevel="0" collapsed="false">
      <c r="A700" s="9"/>
      <c r="B700" s="9"/>
      <c r="C700" s="9"/>
      <c r="D700" s="9"/>
      <c r="E700" s="9"/>
      <c r="F700" s="9" t="s">
        <v>1889</v>
      </c>
      <c r="G700" s="10" t="s">
        <v>1894</v>
      </c>
      <c r="H700" s="9" t="s">
        <v>1895</v>
      </c>
      <c r="I700" s="9" t="n">
        <v>1</v>
      </c>
      <c r="J700" s="9" t="n">
        <v>1</v>
      </c>
      <c r="K700" s="11" t="n">
        <v>0</v>
      </c>
      <c r="L700" s="11" t="n">
        <v>1</v>
      </c>
      <c r="M700" s="9" t="n">
        <v>0</v>
      </c>
      <c r="N700" s="11" t="n">
        <v>0.667</v>
      </c>
      <c r="O700" s="11" t="n">
        <v>0.55</v>
      </c>
      <c r="P700" s="12"/>
      <c r="Q700" s="12"/>
      <c r="R700" s="12"/>
      <c r="S700" s="12"/>
      <c r="T700" s="9" t="s">
        <v>1892</v>
      </c>
      <c r="U700" s="9" t="s">
        <v>1894</v>
      </c>
    </row>
    <row r="701" customFormat="false" ht="15" hidden="false" customHeight="false" outlineLevel="0" collapsed="false">
      <c r="A701" s="9"/>
      <c r="B701" s="9"/>
      <c r="C701" s="9"/>
      <c r="D701" s="9"/>
      <c r="E701" s="9"/>
      <c r="F701" s="9" t="s">
        <v>1896</v>
      </c>
      <c r="G701" s="10" t="s">
        <v>1897</v>
      </c>
      <c r="H701" s="9" t="s">
        <v>1898</v>
      </c>
      <c r="I701" s="9" t="n">
        <v>1</v>
      </c>
      <c r="J701" s="9" t="n">
        <v>2</v>
      </c>
      <c r="K701" s="11" t="n">
        <v>0</v>
      </c>
      <c r="L701" s="11" t="n">
        <v>1</v>
      </c>
      <c r="M701" s="9" t="n">
        <v>0</v>
      </c>
      <c r="N701" s="11" t="n">
        <v>0.333</v>
      </c>
      <c r="O701" s="11" t="n">
        <v>0.5</v>
      </c>
      <c r="P701" s="12"/>
      <c r="Q701" s="12"/>
      <c r="R701" s="12"/>
      <c r="S701" s="12"/>
      <c r="T701" s="9" t="s">
        <v>1892</v>
      </c>
      <c r="U701" s="9" t="s">
        <v>1897</v>
      </c>
    </row>
    <row r="702" customFormat="false" ht="15" hidden="false" customHeight="false" outlineLevel="0" collapsed="false">
      <c r="A702" s="9"/>
      <c r="B702" s="9"/>
      <c r="C702" s="9"/>
      <c r="D702" s="9"/>
      <c r="E702" s="9"/>
      <c r="F702" s="9" t="s">
        <v>1889</v>
      </c>
      <c r="G702" s="10" t="s">
        <v>1899</v>
      </c>
      <c r="H702" s="9"/>
      <c r="I702" s="9" t="n">
        <v>1</v>
      </c>
      <c r="J702" s="9" t="n">
        <v>0</v>
      </c>
      <c r="K702" s="11" t="n">
        <v>0</v>
      </c>
      <c r="L702" s="11" t="n">
        <v>1</v>
      </c>
      <c r="M702" s="9" t="n">
        <v>0</v>
      </c>
      <c r="N702" s="11" t="n">
        <v>0.333</v>
      </c>
      <c r="O702" s="11" t="n">
        <v>0.5</v>
      </c>
      <c r="P702" s="12"/>
      <c r="Q702" s="12"/>
      <c r="R702" s="12"/>
      <c r="S702" s="12"/>
      <c r="T702" s="9" t="s">
        <v>1892</v>
      </c>
      <c r="U702" s="9" t="s">
        <v>1899</v>
      </c>
    </row>
    <row r="703" customFormat="false" ht="15" hidden="false" customHeight="false" outlineLevel="0" collapsed="false">
      <c r="A703" s="7" t="s">
        <v>1820</v>
      </c>
      <c r="B703" s="7" t="s">
        <v>1900</v>
      </c>
      <c r="C703" s="8" t="s">
        <v>150</v>
      </c>
      <c r="D703" s="7" t="s">
        <v>1901</v>
      </c>
      <c r="E703" s="7" t="n">
        <v>197</v>
      </c>
      <c r="F703" s="9" t="s">
        <v>1902</v>
      </c>
      <c r="G703" s="10" t="s">
        <v>1903</v>
      </c>
      <c r="H703" s="9" t="s">
        <v>1904</v>
      </c>
      <c r="I703" s="9" t="n">
        <v>182</v>
      </c>
      <c r="J703" s="9" t="n">
        <v>902</v>
      </c>
      <c r="K703" s="11" t="n">
        <v>5.275</v>
      </c>
      <c r="L703" s="11" t="n">
        <v>1</v>
      </c>
      <c r="M703" s="9" t="n">
        <v>1</v>
      </c>
      <c r="N703" s="11" t="n">
        <v>0.197</v>
      </c>
      <c r="O703" s="11" t="n">
        <v>0.78</v>
      </c>
      <c r="P703" s="12"/>
      <c r="Q703" s="12"/>
      <c r="R703" s="12"/>
      <c r="S703" s="12"/>
      <c r="T703" s="9" t="s">
        <v>1905</v>
      </c>
      <c r="U703" s="9" t="s">
        <v>1903</v>
      </c>
    </row>
    <row r="704" customFormat="false" ht="15" hidden="false" customHeight="false" outlineLevel="0" collapsed="false">
      <c r="A704" s="9"/>
      <c r="B704" s="9"/>
      <c r="C704" s="9"/>
      <c r="D704" s="9"/>
      <c r="E704" s="9"/>
      <c r="F704" s="9" t="s">
        <v>1900</v>
      </c>
      <c r="G704" s="10" t="s">
        <v>1906</v>
      </c>
      <c r="H704" s="9" t="s">
        <v>108</v>
      </c>
      <c r="I704" s="9" t="n">
        <v>10</v>
      </c>
      <c r="J704" s="9" t="n">
        <v>113</v>
      </c>
      <c r="K704" s="11" t="n">
        <v>0.661</v>
      </c>
      <c r="L704" s="11" t="n">
        <v>1</v>
      </c>
      <c r="M704" s="9" t="n">
        <v>0</v>
      </c>
      <c r="N704" s="11" t="n">
        <v>1</v>
      </c>
      <c r="O704" s="11" t="n">
        <v>0.7</v>
      </c>
      <c r="P704" s="12"/>
      <c r="Q704" s="12"/>
      <c r="R704" s="12"/>
      <c r="S704" s="12"/>
      <c r="T704" s="9" t="s">
        <v>1905</v>
      </c>
      <c r="U704" s="9" t="s">
        <v>1906</v>
      </c>
    </row>
    <row r="705" customFormat="false" ht="15" hidden="false" customHeight="false" outlineLevel="0" collapsed="false">
      <c r="A705" s="9"/>
      <c r="B705" s="9"/>
      <c r="C705" s="9"/>
      <c r="D705" s="9"/>
      <c r="E705" s="9"/>
      <c r="F705" s="9" t="s">
        <v>1907</v>
      </c>
      <c r="G705" s="10" t="s">
        <v>1908</v>
      </c>
      <c r="H705" s="9" t="s">
        <v>1909</v>
      </c>
      <c r="I705" s="9" t="n">
        <v>13</v>
      </c>
      <c r="J705" s="9" t="n">
        <v>115</v>
      </c>
      <c r="K705" s="11" t="n">
        <v>0.673</v>
      </c>
      <c r="L705" s="11" t="n">
        <v>0.943</v>
      </c>
      <c r="M705" s="9" t="n">
        <v>0</v>
      </c>
      <c r="N705" s="11" t="n">
        <v>1</v>
      </c>
      <c r="O705" s="11" t="n">
        <v>0.674</v>
      </c>
      <c r="P705" s="12"/>
      <c r="Q705" s="12"/>
      <c r="R705" s="12"/>
      <c r="S705" s="12"/>
      <c r="T705" s="9" t="s">
        <v>1905</v>
      </c>
      <c r="U705" s="9" t="s">
        <v>1908</v>
      </c>
    </row>
    <row r="706" customFormat="false" ht="15" hidden="false" customHeight="false" outlineLevel="0" collapsed="false">
      <c r="A706" s="9"/>
      <c r="B706" s="9"/>
      <c r="C706" s="9"/>
      <c r="D706" s="9"/>
      <c r="E706" s="9"/>
      <c r="F706" s="9" t="s">
        <v>1910</v>
      </c>
      <c r="G706" s="10" t="s">
        <v>1911</v>
      </c>
      <c r="H706" s="9" t="s">
        <v>1912</v>
      </c>
      <c r="I706" s="9" t="n">
        <v>7</v>
      </c>
      <c r="J706" s="9" t="n">
        <v>84</v>
      </c>
      <c r="K706" s="11" t="n">
        <v>0.491</v>
      </c>
      <c r="L706" s="11" t="n">
        <v>0.925</v>
      </c>
      <c r="M706" s="9" t="n">
        <v>0</v>
      </c>
      <c r="N706" s="11" t="n">
        <v>0.714</v>
      </c>
      <c r="O706" s="11" t="n">
        <v>0.623</v>
      </c>
      <c r="P706" s="12"/>
      <c r="Q706" s="12"/>
      <c r="R706" s="12"/>
      <c r="S706" s="12"/>
      <c r="T706" s="9" t="s">
        <v>1905</v>
      </c>
      <c r="U706" s="9" t="s">
        <v>1911</v>
      </c>
    </row>
    <row r="707" customFormat="false" ht="15" hidden="false" customHeight="false" outlineLevel="0" collapsed="false">
      <c r="A707" s="9"/>
      <c r="B707" s="9"/>
      <c r="C707" s="9"/>
      <c r="D707" s="9"/>
      <c r="E707" s="9"/>
      <c r="F707" s="9" t="s">
        <v>1900</v>
      </c>
      <c r="G707" s="10" t="s">
        <v>1913</v>
      </c>
      <c r="H707" s="9" t="s">
        <v>1914</v>
      </c>
      <c r="I707" s="9" t="n">
        <v>4</v>
      </c>
      <c r="J707" s="9" t="n">
        <v>27</v>
      </c>
      <c r="K707" s="11" t="n">
        <v>0.158</v>
      </c>
      <c r="L707" s="11" t="n">
        <v>1</v>
      </c>
      <c r="M707" s="9" t="n">
        <v>0</v>
      </c>
      <c r="N707" s="11" t="n">
        <v>0.429</v>
      </c>
      <c r="O707" s="11" t="n">
        <v>0.614</v>
      </c>
      <c r="P707" s="12"/>
      <c r="Q707" s="12"/>
      <c r="R707" s="12"/>
      <c r="S707" s="12"/>
      <c r="T707" s="9" t="s">
        <v>1905</v>
      </c>
      <c r="U707" s="9" t="s">
        <v>1913</v>
      </c>
    </row>
    <row r="708" customFormat="false" ht="15" hidden="false" customHeight="false" outlineLevel="0" collapsed="false">
      <c r="A708" s="7" t="s">
        <v>1820</v>
      </c>
      <c r="B708" s="7" t="s">
        <v>1915</v>
      </c>
      <c r="C708" s="8" t="s">
        <v>1148</v>
      </c>
      <c r="D708" s="7" t="s">
        <v>1916</v>
      </c>
      <c r="E708" s="7" t="n">
        <v>1637</v>
      </c>
      <c r="F708" s="9" t="s">
        <v>1915</v>
      </c>
      <c r="G708" s="10" t="s">
        <v>1917</v>
      </c>
      <c r="H708" s="9" t="s">
        <v>1148</v>
      </c>
      <c r="I708" s="9" t="n">
        <v>128</v>
      </c>
      <c r="J708" s="9" t="n">
        <v>5465</v>
      </c>
      <c r="K708" s="11" t="n">
        <v>3.6</v>
      </c>
      <c r="L708" s="11" t="n">
        <v>1</v>
      </c>
      <c r="M708" s="9" t="n">
        <v>1</v>
      </c>
      <c r="N708" s="11" t="n">
        <v>1</v>
      </c>
      <c r="O708" s="11" t="n">
        <v>0.9</v>
      </c>
      <c r="P708" s="12"/>
      <c r="Q708" s="12"/>
      <c r="R708" s="12"/>
      <c r="S708" s="12"/>
      <c r="T708" s="9" t="s">
        <v>1918</v>
      </c>
      <c r="U708" s="9" t="s">
        <v>1917</v>
      </c>
    </row>
    <row r="709" customFormat="false" ht="15" hidden="false" customHeight="false" outlineLevel="0" collapsed="false">
      <c r="A709" s="9"/>
      <c r="B709" s="9"/>
      <c r="C709" s="9"/>
      <c r="D709" s="9"/>
      <c r="E709" s="9"/>
      <c r="F709" s="9" t="s">
        <v>1919</v>
      </c>
      <c r="G709" s="10" t="s">
        <v>1920</v>
      </c>
      <c r="H709" s="9" t="s">
        <v>505</v>
      </c>
      <c r="I709" s="9" t="n">
        <v>244</v>
      </c>
      <c r="J709" s="9" t="n">
        <v>45475</v>
      </c>
      <c r="K709" s="11" t="n">
        <v>29.957</v>
      </c>
      <c r="L709" s="11" t="n">
        <v>1</v>
      </c>
      <c r="M709" s="9" t="n">
        <v>1</v>
      </c>
      <c r="N709" s="11" t="n">
        <v>1</v>
      </c>
      <c r="O709" s="11" t="n">
        <v>0.9</v>
      </c>
      <c r="P709" s="12"/>
      <c r="Q709" s="12"/>
      <c r="R709" s="12"/>
      <c r="S709" s="12"/>
      <c r="T709" s="9" t="s">
        <v>1918</v>
      </c>
      <c r="U709" s="9" t="s">
        <v>1920</v>
      </c>
    </row>
    <row r="710" customFormat="false" ht="15" hidden="false" customHeight="false" outlineLevel="0" collapsed="false">
      <c r="A710" s="9"/>
      <c r="B710" s="9"/>
      <c r="C710" s="9"/>
      <c r="D710" s="9"/>
      <c r="E710" s="9"/>
      <c r="F710" s="9" t="s">
        <v>1915</v>
      </c>
      <c r="G710" s="10" t="s">
        <v>1921</v>
      </c>
      <c r="H710" s="9"/>
      <c r="I710" s="9" t="n">
        <v>2</v>
      </c>
      <c r="J710" s="9" t="n">
        <v>229</v>
      </c>
      <c r="K710" s="11" t="n">
        <v>0.151</v>
      </c>
      <c r="L710" s="11" t="n">
        <v>1</v>
      </c>
      <c r="M710" s="9" t="n">
        <v>0</v>
      </c>
      <c r="N710" s="11" t="n">
        <v>1</v>
      </c>
      <c r="O710" s="11" t="n">
        <v>0.7</v>
      </c>
      <c r="P710" s="12"/>
      <c r="Q710" s="12"/>
      <c r="R710" s="12"/>
      <c r="S710" s="12"/>
      <c r="T710" s="9" t="s">
        <v>1918</v>
      </c>
      <c r="U710" s="9" t="s">
        <v>1921</v>
      </c>
    </row>
    <row r="711" customFormat="false" ht="15" hidden="false" customHeight="false" outlineLevel="0" collapsed="false">
      <c r="A711" s="9"/>
      <c r="B711" s="9"/>
      <c r="C711" s="9"/>
      <c r="D711" s="9"/>
      <c r="E711" s="9"/>
      <c r="F711" s="9" t="s">
        <v>1915</v>
      </c>
      <c r="G711" s="10" t="s">
        <v>1922</v>
      </c>
      <c r="H711" s="9" t="s">
        <v>1190</v>
      </c>
      <c r="I711" s="9" t="n">
        <v>9</v>
      </c>
      <c r="J711" s="9" t="n">
        <v>130</v>
      </c>
      <c r="K711" s="11" t="n">
        <v>0.086</v>
      </c>
      <c r="L711" s="11" t="n">
        <v>1</v>
      </c>
      <c r="M711" s="9" t="n">
        <v>0</v>
      </c>
      <c r="N711" s="11" t="n">
        <v>0.8</v>
      </c>
      <c r="O711" s="11" t="n">
        <v>0.62</v>
      </c>
      <c r="P711" s="12"/>
      <c r="Q711" s="12"/>
      <c r="R711" s="12"/>
      <c r="S711" s="12"/>
      <c r="T711" s="9" t="s">
        <v>1918</v>
      </c>
      <c r="U711" s="9" t="s">
        <v>1922</v>
      </c>
    </row>
    <row r="712" customFormat="false" ht="15" hidden="false" customHeight="false" outlineLevel="0" collapsed="false">
      <c r="A712" s="9"/>
      <c r="B712" s="9"/>
      <c r="C712" s="9"/>
      <c r="D712" s="9"/>
      <c r="E712" s="9"/>
      <c r="F712" s="9" t="s">
        <v>1923</v>
      </c>
      <c r="G712" s="10" t="s">
        <v>1924</v>
      </c>
      <c r="H712" s="9" t="s">
        <v>1925</v>
      </c>
      <c r="I712" s="9" t="n">
        <v>9</v>
      </c>
      <c r="J712" s="9" t="n">
        <v>115</v>
      </c>
      <c r="K712" s="11" t="n">
        <v>0.076</v>
      </c>
      <c r="L712" s="11" t="n">
        <v>1</v>
      </c>
      <c r="M712" s="9" t="n">
        <v>0</v>
      </c>
      <c r="N712" s="11" t="n">
        <v>0.765</v>
      </c>
      <c r="O712" s="11" t="n">
        <v>0.615</v>
      </c>
      <c r="P712" s="12"/>
      <c r="Q712" s="12"/>
      <c r="R712" s="12"/>
      <c r="S712" s="12"/>
      <c r="T712" s="9" t="s">
        <v>1918</v>
      </c>
      <c r="U712" s="9" t="s">
        <v>1924</v>
      </c>
    </row>
    <row r="713" customFormat="false" ht="15" hidden="false" customHeight="false" outlineLevel="0" collapsed="false">
      <c r="A713" s="7" t="s">
        <v>1820</v>
      </c>
      <c r="B713" s="7" t="s">
        <v>1926</v>
      </c>
      <c r="C713" s="8" t="s">
        <v>1148</v>
      </c>
      <c r="D713" s="7" t="s">
        <v>1927</v>
      </c>
      <c r="E713" s="7" t="n">
        <v>2407</v>
      </c>
      <c r="F713" s="9" t="s">
        <v>1926</v>
      </c>
      <c r="G713" s="10" t="s">
        <v>1928</v>
      </c>
      <c r="H713" s="9" t="s">
        <v>1148</v>
      </c>
      <c r="I713" s="9" t="n">
        <v>2</v>
      </c>
      <c r="J713" s="9" t="n">
        <v>0</v>
      </c>
      <c r="K713" s="11" t="n">
        <v>0</v>
      </c>
      <c r="L713" s="11" t="n">
        <v>1</v>
      </c>
      <c r="M713" s="9" t="n">
        <v>1</v>
      </c>
      <c r="N713" s="11" t="n">
        <v>1</v>
      </c>
      <c r="O713" s="11" t="n">
        <v>0.9</v>
      </c>
      <c r="P713" s="12"/>
      <c r="Q713" s="12"/>
      <c r="R713" s="12"/>
      <c r="S713" s="12"/>
      <c r="T713" s="9" t="s">
        <v>1929</v>
      </c>
      <c r="U713" s="9" t="s">
        <v>1928</v>
      </c>
    </row>
    <row r="714" customFormat="false" ht="15" hidden="false" customHeight="false" outlineLevel="0" collapsed="false">
      <c r="A714" s="9"/>
      <c r="B714" s="9"/>
      <c r="C714" s="9"/>
      <c r="D714" s="9"/>
      <c r="E714" s="9"/>
      <c r="F714" s="9" t="s">
        <v>1926</v>
      </c>
      <c r="G714" s="10" t="s">
        <v>1930</v>
      </c>
      <c r="H714" s="9" t="s">
        <v>1148</v>
      </c>
      <c r="I714" s="9" t="n">
        <v>36</v>
      </c>
      <c r="J714" s="9" t="n">
        <v>741</v>
      </c>
      <c r="K714" s="11" t="n">
        <v>0.319</v>
      </c>
      <c r="L714" s="11" t="n">
        <v>1</v>
      </c>
      <c r="M714" s="9" t="n">
        <v>1</v>
      </c>
      <c r="N714" s="11" t="n">
        <v>0.185</v>
      </c>
      <c r="O714" s="11" t="n">
        <v>0.878</v>
      </c>
      <c r="P714" s="12"/>
      <c r="Q714" s="12"/>
      <c r="R714" s="12"/>
      <c r="S714" s="12"/>
      <c r="T714" s="9" t="s">
        <v>1929</v>
      </c>
      <c r="U714" s="9" t="s">
        <v>1930</v>
      </c>
    </row>
    <row r="715" customFormat="false" ht="15" hidden="false" customHeight="false" outlineLevel="0" collapsed="false">
      <c r="A715" s="9"/>
      <c r="B715" s="9"/>
      <c r="C715" s="9"/>
      <c r="D715" s="9"/>
      <c r="E715" s="9"/>
      <c r="F715" s="9" t="s">
        <v>1931</v>
      </c>
      <c r="G715" s="10" t="s">
        <v>1932</v>
      </c>
      <c r="H715" s="9"/>
      <c r="I715" s="9" t="n">
        <v>1</v>
      </c>
      <c r="J715" s="9" t="n">
        <v>8</v>
      </c>
      <c r="K715" s="11" t="n">
        <v>0.003</v>
      </c>
      <c r="L715" s="11" t="n">
        <v>0.517</v>
      </c>
      <c r="M715" s="9" t="n">
        <v>0</v>
      </c>
      <c r="N715" s="11" t="n">
        <v>1</v>
      </c>
      <c r="O715" s="11" t="n">
        <v>0.383</v>
      </c>
      <c r="P715" s="12"/>
      <c r="Q715" s="12"/>
      <c r="R715" s="12"/>
      <c r="S715" s="12"/>
      <c r="T715" s="9" t="s">
        <v>1929</v>
      </c>
      <c r="U715" s="9" t="s">
        <v>1932</v>
      </c>
    </row>
    <row r="716" customFormat="false" ht="15" hidden="false" customHeight="false" outlineLevel="0" collapsed="false">
      <c r="A716" s="7" t="s">
        <v>1820</v>
      </c>
      <c r="B716" s="7" t="s">
        <v>1933</v>
      </c>
      <c r="C716" s="8" t="s">
        <v>1498</v>
      </c>
      <c r="D716" s="7" t="s">
        <v>1934</v>
      </c>
      <c r="E716" s="7" t="n">
        <v>928</v>
      </c>
      <c r="F716" s="9" t="s">
        <v>1935</v>
      </c>
      <c r="G716" s="10" t="s">
        <v>1936</v>
      </c>
      <c r="H716" s="9" t="s">
        <v>1937</v>
      </c>
      <c r="I716" s="9" t="n">
        <v>105</v>
      </c>
      <c r="J716" s="9" t="n">
        <v>1731</v>
      </c>
      <c r="K716" s="11" t="n">
        <v>2.068</v>
      </c>
      <c r="L716" s="11" t="n">
        <v>1</v>
      </c>
      <c r="M716" s="9" t="n">
        <v>1</v>
      </c>
      <c r="N716" s="11" t="n">
        <v>0.912</v>
      </c>
      <c r="O716" s="11" t="n">
        <v>0.937</v>
      </c>
      <c r="P716" s="12"/>
      <c r="Q716" s="12"/>
      <c r="R716" s="12"/>
      <c r="S716" s="12"/>
      <c r="T716" s="9" t="s">
        <v>1938</v>
      </c>
      <c r="U716" s="9" t="s">
        <v>1936</v>
      </c>
    </row>
    <row r="717" customFormat="false" ht="15" hidden="false" customHeight="false" outlineLevel="0" collapsed="false">
      <c r="A717" s="9"/>
      <c r="B717" s="9"/>
      <c r="C717" s="9"/>
      <c r="D717" s="9"/>
      <c r="E717" s="9"/>
      <c r="F717" s="9" t="s">
        <v>1939</v>
      </c>
      <c r="G717" s="10" t="s">
        <v>1940</v>
      </c>
      <c r="H717" s="9"/>
      <c r="I717" s="9" t="n">
        <v>23</v>
      </c>
      <c r="J717" s="9" t="n">
        <v>69</v>
      </c>
      <c r="K717" s="11" t="n">
        <v>0.082</v>
      </c>
      <c r="L717" s="11" t="n">
        <v>1</v>
      </c>
      <c r="M717" s="9" t="n">
        <v>0.5</v>
      </c>
      <c r="N717" s="11" t="n">
        <v>1</v>
      </c>
      <c r="O717" s="11" t="n">
        <v>0.8</v>
      </c>
      <c r="P717" s="12"/>
      <c r="Q717" s="12"/>
      <c r="R717" s="12"/>
      <c r="S717" s="12"/>
      <c r="T717" s="9" t="s">
        <v>1938</v>
      </c>
      <c r="U717" s="9" t="s">
        <v>1940</v>
      </c>
    </row>
    <row r="718" customFormat="false" ht="15" hidden="false" customHeight="false" outlineLevel="0" collapsed="false">
      <c r="A718" s="9"/>
      <c r="B718" s="9"/>
      <c r="C718" s="9"/>
      <c r="D718" s="9"/>
      <c r="E718" s="9"/>
      <c r="F718" s="9" t="s">
        <v>1941</v>
      </c>
      <c r="G718" s="10" t="s">
        <v>1942</v>
      </c>
      <c r="H718" s="9" t="s">
        <v>1498</v>
      </c>
      <c r="I718" s="9" t="n">
        <v>87</v>
      </c>
      <c r="J718" s="9" t="n">
        <v>4087</v>
      </c>
      <c r="K718" s="11" t="n">
        <v>4.883</v>
      </c>
      <c r="L718" s="11" t="n">
        <v>1</v>
      </c>
      <c r="M718" s="9" t="n">
        <v>1</v>
      </c>
      <c r="N718" s="11" t="n">
        <v>0</v>
      </c>
      <c r="O718" s="11" t="n">
        <v>0.75</v>
      </c>
      <c r="P718" s="12"/>
      <c r="Q718" s="12"/>
      <c r="R718" s="12"/>
      <c r="S718" s="12"/>
      <c r="T718" s="9" t="s">
        <v>1938</v>
      </c>
      <c r="U718" s="9" t="s">
        <v>1942</v>
      </c>
    </row>
    <row r="719" customFormat="false" ht="15" hidden="false" customHeight="false" outlineLevel="0" collapsed="false">
      <c r="A719" s="9"/>
      <c r="B719" s="9"/>
      <c r="C719" s="9"/>
      <c r="D719" s="9"/>
      <c r="E719" s="9"/>
      <c r="F719" s="9" t="s">
        <v>1943</v>
      </c>
      <c r="G719" s="10" t="s">
        <v>1944</v>
      </c>
      <c r="H719" s="9"/>
      <c r="I719" s="9" t="n">
        <v>44</v>
      </c>
      <c r="J719" s="9" t="n">
        <v>811</v>
      </c>
      <c r="K719" s="11" t="n">
        <v>0.969</v>
      </c>
      <c r="L719" s="11" t="n">
        <v>1</v>
      </c>
      <c r="M719" s="9" t="n">
        <v>0</v>
      </c>
      <c r="N719" s="11" t="n">
        <v>0.727</v>
      </c>
      <c r="O719" s="11" t="n">
        <v>0.659</v>
      </c>
      <c r="P719" s="12"/>
      <c r="Q719" s="12"/>
      <c r="R719" s="12"/>
      <c r="S719" s="12"/>
      <c r="T719" s="9" t="s">
        <v>1938</v>
      </c>
      <c r="U719" s="9" t="s">
        <v>1944</v>
      </c>
    </row>
    <row r="720" customFormat="false" ht="15" hidden="false" customHeight="false" outlineLevel="0" collapsed="false">
      <c r="A720" s="9"/>
      <c r="B720" s="9"/>
      <c r="C720" s="9"/>
      <c r="D720" s="9"/>
      <c r="E720" s="9"/>
      <c r="F720" s="9" t="s">
        <v>1945</v>
      </c>
      <c r="G720" s="10" t="s">
        <v>1946</v>
      </c>
      <c r="H720" s="9" t="s">
        <v>1947</v>
      </c>
      <c r="I720" s="9" t="n">
        <v>135</v>
      </c>
      <c r="J720" s="9" t="n">
        <v>1082</v>
      </c>
      <c r="K720" s="11" t="n">
        <v>1.293</v>
      </c>
      <c r="L720" s="11" t="n">
        <v>1</v>
      </c>
      <c r="M720" s="9" t="n">
        <v>0</v>
      </c>
      <c r="N720" s="11" t="n">
        <v>0.714</v>
      </c>
      <c r="O720" s="11" t="n">
        <v>0.657</v>
      </c>
      <c r="P720" s="12"/>
      <c r="Q720" s="12"/>
      <c r="R720" s="12"/>
      <c r="S720" s="12"/>
      <c r="T720" s="9" t="s">
        <v>1938</v>
      </c>
      <c r="U720" s="9" t="s">
        <v>1946</v>
      </c>
    </row>
    <row r="721" customFormat="false" ht="15" hidden="false" customHeight="false" outlineLevel="0" collapsed="false">
      <c r="A721" s="7" t="s">
        <v>1820</v>
      </c>
      <c r="B721" s="7" t="s">
        <v>1948</v>
      </c>
      <c r="C721" s="8" t="s">
        <v>81</v>
      </c>
      <c r="D721" s="7" t="s">
        <v>1949</v>
      </c>
      <c r="E721" s="7" t="n">
        <v>2357</v>
      </c>
      <c r="F721" s="9" t="s">
        <v>1948</v>
      </c>
      <c r="G721" s="10" t="s">
        <v>1950</v>
      </c>
      <c r="H721" s="9" t="s">
        <v>81</v>
      </c>
      <c r="I721" s="9" t="n">
        <v>13</v>
      </c>
      <c r="J721" s="9" t="n">
        <v>102</v>
      </c>
      <c r="K721" s="11" t="n">
        <v>0.046</v>
      </c>
      <c r="L721" s="11" t="n">
        <v>1</v>
      </c>
      <c r="M721" s="9" t="n">
        <v>1</v>
      </c>
      <c r="N721" s="11" t="n">
        <v>0.2</v>
      </c>
      <c r="O721" s="11" t="n">
        <v>0.83</v>
      </c>
      <c r="P721" s="12"/>
      <c r="Q721" s="12"/>
      <c r="R721" s="12"/>
      <c r="S721" s="12"/>
      <c r="T721" s="9" t="s">
        <v>1951</v>
      </c>
      <c r="U721" s="9" t="s">
        <v>1950</v>
      </c>
    </row>
    <row r="722" customFormat="false" ht="15" hidden="false" customHeight="false" outlineLevel="0" collapsed="false">
      <c r="A722" s="9"/>
      <c r="B722" s="9"/>
      <c r="C722" s="9"/>
      <c r="D722" s="9"/>
      <c r="E722" s="9"/>
      <c r="F722" s="9" t="s">
        <v>1948</v>
      </c>
      <c r="G722" s="10" t="s">
        <v>1952</v>
      </c>
      <c r="H722" s="9" t="s">
        <v>1953</v>
      </c>
      <c r="I722" s="9" t="n">
        <v>5</v>
      </c>
      <c r="J722" s="9" t="n">
        <v>263</v>
      </c>
      <c r="K722" s="11" t="n">
        <v>0.119</v>
      </c>
      <c r="L722" s="11" t="n">
        <v>1</v>
      </c>
      <c r="M722" s="9" t="n">
        <v>0.5</v>
      </c>
      <c r="N722" s="11" t="n">
        <v>0.833</v>
      </c>
      <c r="O722" s="11" t="n">
        <v>0.825</v>
      </c>
      <c r="P722" s="12"/>
      <c r="Q722" s="12"/>
      <c r="R722" s="12"/>
      <c r="S722" s="12"/>
      <c r="T722" s="9" t="s">
        <v>1951</v>
      </c>
      <c r="U722" s="9" t="s">
        <v>1952</v>
      </c>
    </row>
    <row r="723" customFormat="false" ht="15" hidden="false" customHeight="false" outlineLevel="0" collapsed="false">
      <c r="A723" s="9"/>
      <c r="B723" s="9"/>
      <c r="C723" s="9"/>
      <c r="D723" s="9"/>
      <c r="E723" s="9"/>
      <c r="F723" s="9" t="s">
        <v>1954</v>
      </c>
      <c r="G723" s="10" t="s">
        <v>1955</v>
      </c>
      <c r="H723" s="9" t="s">
        <v>1956</v>
      </c>
      <c r="I723" s="9" t="n">
        <v>1</v>
      </c>
      <c r="J723" s="9" t="n">
        <v>52</v>
      </c>
      <c r="K723" s="11" t="n">
        <v>0.023</v>
      </c>
      <c r="L723" s="11" t="n">
        <v>1</v>
      </c>
      <c r="M723" s="9" t="n">
        <v>0</v>
      </c>
      <c r="N723" s="11" t="n">
        <v>1</v>
      </c>
      <c r="O723" s="11" t="n">
        <v>0.6</v>
      </c>
      <c r="P723" s="12"/>
      <c r="Q723" s="12"/>
      <c r="R723" s="12"/>
      <c r="S723" s="12"/>
      <c r="T723" s="9" t="s">
        <v>1951</v>
      </c>
      <c r="U723" s="9" t="s">
        <v>1955</v>
      </c>
    </row>
    <row r="724" customFormat="false" ht="15" hidden="false" customHeight="false" outlineLevel="0" collapsed="false">
      <c r="A724" s="9"/>
      <c r="B724" s="9"/>
      <c r="C724" s="9"/>
      <c r="D724" s="9"/>
      <c r="E724" s="9"/>
      <c r="F724" s="9" t="s">
        <v>1948</v>
      </c>
      <c r="G724" s="10" t="s">
        <v>1957</v>
      </c>
      <c r="H724" s="9" t="s">
        <v>1958</v>
      </c>
      <c r="I724" s="9" t="n">
        <v>5</v>
      </c>
      <c r="J724" s="9" t="n">
        <v>246</v>
      </c>
      <c r="K724" s="11" t="n">
        <v>0.111</v>
      </c>
      <c r="L724" s="11" t="n">
        <v>1</v>
      </c>
      <c r="M724" s="9" t="n">
        <v>0</v>
      </c>
      <c r="N724" s="11" t="n">
        <v>0.286</v>
      </c>
      <c r="O724" s="11" t="n">
        <v>0.593</v>
      </c>
      <c r="P724" s="12"/>
      <c r="Q724" s="12"/>
      <c r="R724" s="12"/>
      <c r="S724" s="12"/>
      <c r="T724" s="9" t="s">
        <v>1951</v>
      </c>
      <c r="U724" s="9" t="s">
        <v>1957</v>
      </c>
    </row>
    <row r="725" customFormat="false" ht="15" hidden="false" customHeight="false" outlineLevel="0" collapsed="false">
      <c r="A725" s="9"/>
      <c r="B725" s="9"/>
      <c r="C725" s="9"/>
      <c r="D725" s="9"/>
      <c r="E725" s="9"/>
      <c r="F725" s="9" t="s">
        <v>1948</v>
      </c>
      <c r="G725" s="10" t="s">
        <v>1959</v>
      </c>
      <c r="H725" s="9" t="s">
        <v>1960</v>
      </c>
      <c r="I725" s="9" t="n">
        <v>1</v>
      </c>
      <c r="J725" s="9" t="n">
        <v>41</v>
      </c>
      <c r="K725" s="11" t="n">
        <v>0.019</v>
      </c>
      <c r="L725" s="11" t="n">
        <v>1</v>
      </c>
      <c r="M725" s="9" t="n">
        <v>0</v>
      </c>
      <c r="N725" s="11" t="n">
        <v>0.667</v>
      </c>
      <c r="O725" s="11" t="n">
        <v>0.55</v>
      </c>
      <c r="P725" s="12"/>
      <c r="Q725" s="12"/>
      <c r="R725" s="12"/>
      <c r="S725" s="12"/>
      <c r="T725" s="9" t="s">
        <v>1951</v>
      </c>
      <c r="U725" s="9" t="s">
        <v>1959</v>
      </c>
    </row>
    <row r="726" customFormat="false" ht="15" hidden="false" customHeight="false" outlineLevel="0" collapsed="false">
      <c r="A726" s="7" t="s">
        <v>1820</v>
      </c>
      <c r="B726" s="7" t="s">
        <v>1961</v>
      </c>
      <c r="C726" s="8" t="s">
        <v>357</v>
      </c>
      <c r="D726" s="7" t="s">
        <v>1962</v>
      </c>
      <c r="E726" s="7" t="n">
        <v>63</v>
      </c>
      <c r="F726" s="9" t="s">
        <v>1963</v>
      </c>
      <c r="G726" s="10" t="s">
        <v>1964</v>
      </c>
      <c r="H726" s="9" t="s">
        <v>1965</v>
      </c>
      <c r="I726" s="9" t="n">
        <v>490</v>
      </c>
      <c r="J726" s="9" t="n">
        <v>52281</v>
      </c>
      <c r="K726" s="11" t="n">
        <v>829.857</v>
      </c>
      <c r="L726" s="11" t="n">
        <v>1</v>
      </c>
      <c r="M726" s="9" t="n">
        <v>1</v>
      </c>
      <c r="N726" s="11" t="n">
        <v>0</v>
      </c>
      <c r="O726" s="11" t="n">
        <v>0.75</v>
      </c>
      <c r="P726" s="12"/>
      <c r="Q726" s="12"/>
      <c r="R726" s="12"/>
      <c r="S726" s="12"/>
      <c r="T726" s="9" t="s">
        <v>1966</v>
      </c>
      <c r="U726" s="9" t="s">
        <v>1964</v>
      </c>
    </row>
    <row r="727" customFormat="false" ht="15" hidden="false" customHeight="false" outlineLevel="0" collapsed="false">
      <c r="A727" s="9"/>
      <c r="B727" s="9"/>
      <c r="C727" s="9"/>
      <c r="D727" s="9"/>
      <c r="E727" s="9"/>
      <c r="F727" s="9" t="s">
        <v>1967</v>
      </c>
      <c r="G727" s="10" t="s">
        <v>1968</v>
      </c>
      <c r="H727" s="9" t="s">
        <v>1969</v>
      </c>
      <c r="I727" s="9" t="n">
        <v>110</v>
      </c>
      <c r="J727" s="9" t="n">
        <v>321</v>
      </c>
      <c r="K727" s="11" t="n">
        <v>5.095</v>
      </c>
      <c r="L727" s="11" t="n">
        <v>1</v>
      </c>
      <c r="M727" s="9" t="n">
        <v>0.5</v>
      </c>
      <c r="N727" s="11" t="n">
        <v>0.744</v>
      </c>
      <c r="O727" s="11" t="n">
        <v>0.712</v>
      </c>
      <c r="P727" s="12"/>
      <c r="Q727" s="12"/>
      <c r="R727" s="12"/>
      <c r="S727" s="12"/>
      <c r="T727" s="9" t="s">
        <v>1966</v>
      </c>
      <c r="U727" s="9" t="s">
        <v>1968</v>
      </c>
    </row>
    <row r="728" customFormat="false" ht="15" hidden="false" customHeight="false" outlineLevel="0" collapsed="false">
      <c r="A728" s="9"/>
      <c r="B728" s="9"/>
      <c r="C728" s="9"/>
      <c r="D728" s="9"/>
      <c r="E728" s="9"/>
      <c r="F728" s="9" t="s">
        <v>1970</v>
      </c>
      <c r="G728" s="10" t="s">
        <v>1971</v>
      </c>
      <c r="H728" s="9" t="s">
        <v>1972</v>
      </c>
      <c r="I728" s="9" t="n">
        <v>108</v>
      </c>
      <c r="J728" s="9" t="n">
        <v>2276</v>
      </c>
      <c r="K728" s="11" t="n">
        <v>36.127</v>
      </c>
      <c r="L728" s="11" t="n">
        <v>1</v>
      </c>
      <c r="M728" s="9" t="n">
        <v>0</v>
      </c>
      <c r="N728" s="11" t="n">
        <v>0.691</v>
      </c>
      <c r="O728" s="11" t="n">
        <v>0.554</v>
      </c>
      <c r="P728" s="12"/>
      <c r="Q728" s="12"/>
      <c r="R728" s="12"/>
      <c r="S728" s="12"/>
      <c r="T728" s="9" t="s">
        <v>1966</v>
      </c>
      <c r="U728" s="9" t="s">
        <v>1971</v>
      </c>
    </row>
    <row r="729" customFormat="false" ht="15" hidden="false" customHeight="false" outlineLevel="0" collapsed="false">
      <c r="A729" s="9"/>
      <c r="B729" s="9"/>
      <c r="C729" s="9"/>
      <c r="D729" s="9"/>
      <c r="E729" s="9"/>
      <c r="F729" s="9" t="s">
        <v>1961</v>
      </c>
      <c r="G729" s="10" t="s">
        <v>1973</v>
      </c>
      <c r="H729" s="9"/>
      <c r="I729" s="9" t="n">
        <v>31</v>
      </c>
      <c r="J729" s="9" t="n">
        <v>58</v>
      </c>
      <c r="K729" s="11" t="n">
        <v>0.921</v>
      </c>
      <c r="L729" s="11" t="n">
        <v>1</v>
      </c>
      <c r="M729" s="9" t="n">
        <v>0</v>
      </c>
      <c r="N729" s="11" t="n">
        <v>0</v>
      </c>
      <c r="O729" s="11" t="n">
        <v>0.55</v>
      </c>
      <c r="P729" s="12"/>
      <c r="Q729" s="12"/>
      <c r="R729" s="12"/>
      <c r="S729" s="12"/>
      <c r="T729" s="9" t="s">
        <v>1966</v>
      </c>
      <c r="U729" s="9" t="s">
        <v>1973</v>
      </c>
    </row>
    <row r="730" customFormat="false" ht="15" hidden="false" customHeight="false" outlineLevel="0" collapsed="false">
      <c r="A730" s="9"/>
      <c r="B730" s="9"/>
      <c r="C730" s="9"/>
      <c r="D730" s="9"/>
      <c r="E730" s="9"/>
      <c r="F730" s="9" t="s">
        <v>1961</v>
      </c>
      <c r="G730" s="10" t="s">
        <v>1974</v>
      </c>
      <c r="H730" s="9" t="s">
        <v>1975</v>
      </c>
      <c r="I730" s="9" t="n">
        <v>48</v>
      </c>
      <c r="J730" s="9" t="n">
        <v>54</v>
      </c>
      <c r="K730" s="11" t="n">
        <v>0.857</v>
      </c>
      <c r="L730" s="11" t="n">
        <v>1</v>
      </c>
      <c r="M730" s="9" t="n">
        <v>0</v>
      </c>
      <c r="N730" s="11" t="n">
        <v>0</v>
      </c>
      <c r="O730" s="11" t="n">
        <v>0.55</v>
      </c>
      <c r="P730" s="12"/>
      <c r="Q730" s="12"/>
      <c r="R730" s="12"/>
      <c r="S730" s="12"/>
      <c r="T730" s="9" t="s">
        <v>1966</v>
      </c>
      <c r="U730" s="9" t="s">
        <v>1974</v>
      </c>
    </row>
    <row r="731" customFormat="false" ht="15" hidden="false" customHeight="false" outlineLevel="0" collapsed="false">
      <c r="A731" s="7" t="s">
        <v>1820</v>
      </c>
      <c r="B731" s="7" t="s">
        <v>1976</v>
      </c>
      <c r="C731" s="8" t="s">
        <v>309</v>
      </c>
      <c r="D731" s="7" t="s">
        <v>1977</v>
      </c>
      <c r="E731" s="7" t="n">
        <v>65</v>
      </c>
      <c r="F731" s="9" t="s">
        <v>1976</v>
      </c>
      <c r="G731" s="10" t="s">
        <v>1978</v>
      </c>
      <c r="H731" s="9" t="s">
        <v>1979</v>
      </c>
      <c r="I731" s="9" t="n">
        <v>17</v>
      </c>
      <c r="J731" s="9" t="n">
        <v>168</v>
      </c>
      <c r="K731" s="11" t="n">
        <v>2.585</v>
      </c>
      <c r="L731" s="11" t="n">
        <v>1</v>
      </c>
      <c r="M731" s="9" t="n">
        <v>1</v>
      </c>
      <c r="N731" s="11" t="n">
        <v>0</v>
      </c>
      <c r="O731" s="11" t="n">
        <v>0.8</v>
      </c>
      <c r="P731" s="12"/>
      <c r="Q731" s="12"/>
      <c r="R731" s="12"/>
      <c r="S731" s="12"/>
      <c r="T731" s="9" t="s">
        <v>1980</v>
      </c>
      <c r="U731" s="9" t="s">
        <v>1978</v>
      </c>
    </row>
    <row r="732" customFormat="false" ht="15" hidden="false" customHeight="false" outlineLevel="0" collapsed="false">
      <c r="A732" s="9"/>
      <c r="B732" s="9"/>
      <c r="C732" s="9"/>
      <c r="D732" s="9"/>
      <c r="E732" s="9"/>
      <c r="F732" s="9" t="s">
        <v>1981</v>
      </c>
      <c r="G732" s="10" t="s">
        <v>1982</v>
      </c>
      <c r="H732" s="9" t="s">
        <v>1983</v>
      </c>
      <c r="I732" s="9" t="n">
        <v>1</v>
      </c>
      <c r="J732" s="9" t="n">
        <v>72</v>
      </c>
      <c r="K732" s="11" t="n">
        <v>1.108</v>
      </c>
      <c r="L732" s="11" t="n">
        <v>1</v>
      </c>
      <c r="M732" s="9" t="n">
        <v>0</v>
      </c>
      <c r="N732" s="11" t="n">
        <v>1</v>
      </c>
      <c r="O732" s="11" t="n">
        <v>0.7</v>
      </c>
      <c r="P732" s="12"/>
      <c r="Q732" s="12"/>
      <c r="R732" s="12"/>
      <c r="S732" s="12"/>
      <c r="T732" s="9" t="s">
        <v>1980</v>
      </c>
      <c r="U732" s="9" t="s">
        <v>1982</v>
      </c>
    </row>
    <row r="733" customFormat="false" ht="15" hidden="false" customHeight="false" outlineLevel="0" collapsed="false">
      <c r="A733" s="9"/>
      <c r="B733" s="9"/>
      <c r="C733" s="9"/>
      <c r="D733" s="9"/>
      <c r="E733" s="9"/>
      <c r="F733" s="9" t="s">
        <v>1976</v>
      </c>
      <c r="G733" s="10" t="s">
        <v>1984</v>
      </c>
      <c r="H733" s="9" t="s">
        <v>1985</v>
      </c>
      <c r="I733" s="9" t="n">
        <v>2</v>
      </c>
      <c r="J733" s="9" t="n">
        <v>46</v>
      </c>
      <c r="K733" s="11" t="n">
        <v>0.708</v>
      </c>
      <c r="L733" s="11" t="n">
        <v>1</v>
      </c>
      <c r="M733" s="9" t="n">
        <v>0</v>
      </c>
      <c r="N733" s="11" t="n">
        <v>0</v>
      </c>
      <c r="O733" s="11" t="n">
        <v>0.55</v>
      </c>
      <c r="P733" s="12"/>
      <c r="Q733" s="12"/>
      <c r="R733" s="12"/>
      <c r="S733" s="12"/>
      <c r="T733" s="9" t="s">
        <v>1980</v>
      </c>
      <c r="U733" s="9" t="s">
        <v>1984</v>
      </c>
    </row>
    <row r="734" customFormat="false" ht="15" hidden="false" customHeight="false" outlineLevel="0" collapsed="false">
      <c r="A734" s="9"/>
      <c r="B734" s="9"/>
      <c r="C734" s="9"/>
      <c r="D734" s="9"/>
      <c r="E734" s="9"/>
      <c r="F734" s="9" t="s">
        <v>1976</v>
      </c>
      <c r="G734" s="10" t="s">
        <v>1986</v>
      </c>
      <c r="H734" s="9" t="s">
        <v>1979</v>
      </c>
      <c r="I734" s="9" t="n">
        <v>1</v>
      </c>
      <c r="J734" s="9" t="n">
        <v>3</v>
      </c>
      <c r="K734" s="11" t="n">
        <v>0.046</v>
      </c>
      <c r="L734" s="11" t="n">
        <v>1</v>
      </c>
      <c r="M734" s="9" t="n">
        <v>0</v>
      </c>
      <c r="N734" s="11" t="n">
        <v>0.333</v>
      </c>
      <c r="O734" s="11" t="n">
        <v>0.55</v>
      </c>
      <c r="P734" s="12"/>
      <c r="Q734" s="12"/>
      <c r="R734" s="12"/>
      <c r="S734" s="12"/>
      <c r="T734" s="9" t="s">
        <v>1980</v>
      </c>
      <c r="U734" s="9" t="s">
        <v>1986</v>
      </c>
    </row>
    <row r="735" customFormat="false" ht="15" hidden="false" customHeight="false" outlineLevel="0" collapsed="false">
      <c r="A735" s="9"/>
      <c r="B735" s="9"/>
      <c r="C735" s="9"/>
      <c r="D735" s="9"/>
      <c r="E735" s="9"/>
      <c r="F735" s="9" t="s">
        <v>1987</v>
      </c>
      <c r="G735" s="10" t="s">
        <v>1988</v>
      </c>
      <c r="H735" s="9"/>
      <c r="I735" s="9" t="n">
        <v>1</v>
      </c>
      <c r="J735" s="9" t="n">
        <v>0</v>
      </c>
      <c r="K735" s="11" t="n">
        <v>0</v>
      </c>
      <c r="L735" s="11" t="n">
        <v>1</v>
      </c>
      <c r="M735" s="9" t="n">
        <v>0</v>
      </c>
      <c r="N735" s="11" t="n">
        <v>0.667</v>
      </c>
      <c r="O735" s="11" t="n">
        <v>0.55</v>
      </c>
      <c r="P735" s="12"/>
      <c r="Q735" s="12"/>
      <c r="R735" s="12"/>
      <c r="S735" s="12"/>
      <c r="T735" s="9" t="s">
        <v>1980</v>
      </c>
      <c r="U735" s="9" t="s">
        <v>1988</v>
      </c>
    </row>
    <row r="736" customFormat="false" ht="15" hidden="false" customHeight="false" outlineLevel="0" collapsed="false">
      <c r="A736" s="7" t="s">
        <v>1820</v>
      </c>
      <c r="B736" s="7" t="s">
        <v>1989</v>
      </c>
      <c r="C736" s="8" t="s">
        <v>1990</v>
      </c>
      <c r="D736" s="7" t="s">
        <v>1991</v>
      </c>
      <c r="E736" s="7" t="n">
        <v>624</v>
      </c>
      <c r="F736" s="9" t="s">
        <v>1989</v>
      </c>
      <c r="G736" s="10" t="s">
        <v>1992</v>
      </c>
      <c r="H736" s="9" t="s">
        <v>186</v>
      </c>
      <c r="I736" s="9" t="n">
        <v>162</v>
      </c>
      <c r="J736" s="9" t="n">
        <v>4359</v>
      </c>
      <c r="K736" s="11" t="n">
        <v>7.401</v>
      </c>
      <c r="L736" s="11" t="n">
        <v>1</v>
      </c>
      <c r="M736" s="9" t="n">
        <v>1</v>
      </c>
      <c r="N736" s="11" t="n">
        <v>1</v>
      </c>
      <c r="O736" s="11" t="n">
        <v>0.9</v>
      </c>
      <c r="P736" s="12"/>
      <c r="Q736" s="12"/>
      <c r="R736" s="12"/>
      <c r="S736" s="12"/>
      <c r="T736" s="9" t="s">
        <v>1993</v>
      </c>
      <c r="U736" s="9" t="s">
        <v>1992</v>
      </c>
    </row>
    <row r="737" customFormat="false" ht="15" hidden="false" customHeight="false" outlineLevel="0" collapsed="false">
      <c r="A737" s="9"/>
      <c r="B737" s="9"/>
      <c r="C737" s="9"/>
      <c r="D737" s="9"/>
      <c r="E737" s="9"/>
      <c r="F737" s="9" t="s">
        <v>1989</v>
      </c>
      <c r="G737" s="10" t="s">
        <v>1994</v>
      </c>
      <c r="H737" s="9" t="s">
        <v>1995</v>
      </c>
      <c r="I737" s="9" t="n">
        <v>40</v>
      </c>
      <c r="J737" s="9" t="n">
        <v>502</v>
      </c>
      <c r="K737" s="11" t="n">
        <v>0.852</v>
      </c>
      <c r="L737" s="11" t="n">
        <v>1</v>
      </c>
      <c r="M737" s="9" t="n">
        <v>1</v>
      </c>
      <c r="N737" s="11" t="n">
        <v>0</v>
      </c>
      <c r="O737" s="11" t="n">
        <v>0.85</v>
      </c>
      <c r="P737" s="12"/>
      <c r="Q737" s="12"/>
      <c r="R737" s="12"/>
      <c r="S737" s="12"/>
      <c r="T737" s="9" t="s">
        <v>1993</v>
      </c>
      <c r="U737" s="9" t="s">
        <v>1994</v>
      </c>
    </row>
    <row r="738" customFormat="false" ht="15" hidden="false" customHeight="false" outlineLevel="0" collapsed="false">
      <c r="A738" s="9"/>
      <c r="B738" s="9"/>
      <c r="C738" s="9"/>
      <c r="D738" s="9"/>
      <c r="E738" s="9"/>
      <c r="F738" s="9" t="s">
        <v>1989</v>
      </c>
      <c r="G738" s="10" t="s">
        <v>1996</v>
      </c>
      <c r="H738" s="9"/>
      <c r="I738" s="9" t="n">
        <v>29</v>
      </c>
      <c r="J738" s="9" t="n">
        <v>1282</v>
      </c>
      <c r="K738" s="11" t="n">
        <v>2.177</v>
      </c>
      <c r="L738" s="11" t="n">
        <v>1</v>
      </c>
      <c r="M738" s="9" t="n">
        <v>0.5</v>
      </c>
      <c r="N738" s="11" t="n">
        <v>0.655</v>
      </c>
      <c r="O738" s="11" t="n">
        <v>0.748</v>
      </c>
      <c r="P738" s="12"/>
      <c r="Q738" s="12"/>
      <c r="R738" s="12"/>
      <c r="S738" s="12"/>
      <c r="T738" s="9" t="s">
        <v>1993</v>
      </c>
      <c r="U738" s="9" t="s">
        <v>1996</v>
      </c>
    </row>
    <row r="739" customFormat="false" ht="15" hidden="false" customHeight="false" outlineLevel="0" collapsed="false">
      <c r="A739" s="9"/>
      <c r="B739" s="9"/>
      <c r="C739" s="9"/>
      <c r="D739" s="9"/>
      <c r="E739" s="9"/>
      <c r="F739" s="9" t="s">
        <v>1989</v>
      </c>
      <c r="G739" s="10" t="s">
        <v>1997</v>
      </c>
      <c r="H739" s="9"/>
      <c r="I739" s="9" t="n">
        <v>3</v>
      </c>
      <c r="J739" s="9" t="n">
        <v>25</v>
      </c>
      <c r="K739" s="11" t="n">
        <v>0.042</v>
      </c>
      <c r="L739" s="11" t="n">
        <v>1</v>
      </c>
      <c r="M739" s="9" t="n">
        <v>0</v>
      </c>
      <c r="N739" s="11" t="n">
        <v>0.8</v>
      </c>
      <c r="O739" s="11" t="n">
        <v>0.62</v>
      </c>
      <c r="P739" s="12"/>
      <c r="Q739" s="12"/>
      <c r="R739" s="12"/>
      <c r="S739" s="12"/>
      <c r="T739" s="9" t="s">
        <v>1993</v>
      </c>
      <c r="U739" s="9" t="s">
        <v>1997</v>
      </c>
    </row>
    <row r="740" customFormat="false" ht="15" hidden="false" customHeight="false" outlineLevel="0" collapsed="false">
      <c r="A740" s="9"/>
      <c r="B740" s="9"/>
      <c r="C740" s="9"/>
      <c r="D740" s="9"/>
      <c r="E740" s="9"/>
      <c r="F740" s="9" t="s">
        <v>1989</v>
      </c>
      <c r="G740" s="10" t="s">
        <v>1998</v>
      </c>
      <c r="H740" s="9"/>
      <c r="I740" s="9" t="n">
        <v>1</v>
      </c>
      <c r="J740" s="9" t="n">
        <v>0</v>
      </c>
      <c r="K740" s="11" t="n">
        <v>0</v>
      </c>
      <c r="L740" s="11" t="n">
        <v>1</v>
      </c>
      <c r="M740" s="9" t="n">
        <v>0</v>
      </c>
      <c r="N740" s="11" t="n">
        <v>1</v>
      </c>
      <c r="O740" s="11" t="n">
        <v>0.6</v>
      </c>
      <c r="P740" s="12"/>
      <c r="Q740" s="12"/>
      <c r="R740" s="12"/>
      <c r="S740" s="12"/>
      <c r="T740" s="9" t="s">
        <v>1993</v>
      </c>
      <c r="U740" s="9" t="s">
        <v>1998</v>
      </c>
    </row>
    <row r="741" customFormat="false" ht="15" hidden="false" customHeight="false" outlineLevel="0" collapsed="false">
      <c r="A741" s="7" t="s">
        <v>1820</v>
      </c>
      <c r="B741" s="7" t="s">
        <v>1999</v>
      </c>
      <c r="C741" s="8" t="s">
        <v>606</v>
      </c>
      <c r="D741" s="7" t="s">
        <v>2000</v>
      </c>
      <c r="E741" s="7" t="n">
        <v>237</v>
      </c>
      <c r="F741" s="9" t="s">
        <v>1999</v>
      </c>
      <c r="G741" s="10" t="s">
        <v>2001</v>
      </c>
      <c r="H741" s="9" t="s">
        <v>606</v>
      </c>
      <c r="I741" s="9" t="n">
        <v>45</v>
      </c>
      <c r="J741" s="9" t="n">
        <v>683</v>
      </c>
      <c r="K741" s="11" t="n">
        <v>3.09</v>
      </c>
      <c r="L741" s="11" t="n">
        <v>1</v>
      </c>
      <c r="M741" s="9" t="n">
        <v>1</v>
      </c>
      <c r="N741" s="11" t="n">
        <v>1</v>
      </c>
      <c r="O741" s="11" t="n">
        <v>0.9</v>
      </c>
      <c r="P741" s="12"/>
      <c r="Q741" s="12"/>
      <c r="R741" s="12"/>
      <c r="S741" s="12"/>
      <c r="T741" s="9" t="s">
        <v>2002</v>
      </c>
      <c r="U741" s="9" t="s">
        <v>2001</v>
      </c>
    </row>
    <row r="742" customFormat="false" ht="15" hidden="false" customHeight="false" outlineLevel="0" collapsed="false">
      <c r="A742" s="9"/>
      <c r="B742" s="9"/>
      <c r="C742" s="9"/>
      <c r="D742" s="9"/>
      <c r="E742" s="9"/>
      <c r="F742" s="9" t="s">
        <v>1999</v>
      </c>
      <c r="G742" s="10" t="s">
        <v>2003</v>
      </c>
      <c r="H742" s="9" t="s">
        <v>2004</v>
      </c>
      <c r="I742" s="9" t="n">
        <v>107</v>
      </c>
      <c r="J742" s="9" t="n">
        <v>1703</v>
      </c>
      <c r="K742" s="11" t="n">
        <v>7.706</v>
      </c>
      <c r="L742" s="11" t="n">
        <v>1</v>
      </c>
      <c r="M742" s="9" t="n">
        <v>1</v>
      </c>
      <c r="N742" s="11" t="n">
        <v>0.409</v>
      </c>
      <c r="O742" s="11" t="n">
        <v>0.811</v>
      </c>
      <c r="P742" s="12"/>
      <c r="Q742" s="12"/>
      <c r="R742" s="12"/>
      <c r="S742" s="12"/>
      <c r="T742" s="9" t="s">
        <v>2002</v>
      </c>
      <c r="U742" s="9" t="s">
        <v>2003</v>
      </c>
    </row>
    <row r="743" customFormat="false" ht="15" hidden="false" customHeight="false" outlineLevel="0" collapsed="false">
      <c r="A743" s="9"/>
      <c r="B743" s="9"/>
      <c r="C743" s="9"/>
      <c r="D743" s="9"/>
      <c r="E743" s="9"/>
      <c r="F743" s="9" t="s">
        <v>1999</v>
      </c>
      <c r="G743" s="10" t="s">
        <v>2005</v>
      </c>
      <c r="H743" s="9"/>
      <c r="I743" s="9" t="n">
        <v>440</v>
      </c>
      <c r="J743" s="9" t="n">
        <v>4282</v>
      </c>
      <c r="K743" s="11" t="n">
        <v>19.376</v>
      </c>
      <c r="L743" s="11" t="n">
        <v>1</v>
      </c>
      <c r="M743" s="9" t="n">
        <v>0.5</v>
      </c>
      <c r="N743" s="11" t="n">
        <v>0.901</v>
      </c>
      <c r="O743" s="11" t="n">
        <v>0.735</v>
      </c>
      <c r="P743" s="12"/>
      <c r="Q743" s="12"/>
      <c r="R743" s="12"/>
      <c r="S743" s="12"/>
      <c r="T743" s="9" t="s">
        <v>2002</v>
      </c>
      <c r="U743" s="9" t="s">
        <v>2005</v>
      </c>
    </row>
    <row r="744" customFormat="false" ht="15" hidden="false" customHeight="false" outlineLevel="0" collapsed="false">
      <c r="A744" s="9"/>
      <c r="B744" s="9"/>
      <c r="C744" s="9"/>
      <c r="D744" s="9"/>
      <c r="E744" s="9"/>
      <c r="F744" s="9" t="s">
        <v>1999</v>
      </c>
      <c r="G744" s="10" t="s">
        <v>2006</v>
      </c>
      <c r="H744" s="9"/>
      <c r="I744" s="9" t="n">
        <v>25</v>
      </c>
      <c r="J744" s="9" t="n">
        <v>307</v>
      </c>
      <c r="K744" s="11" t="n">
        <v>1.389</v>
      </c>
      <c r="L744" s="11" t="n">
        <v>1</v>
      </c>
      <c r="M744" s="9" t="n">
        <v>0</v>
      </c>
      <c r="N744" s="11" t="n">
        <v>0.682</v>
      </c>
      <c r="O744" s="11" t="n">
        <v>0.652</v>
      </c>
      <c r="P744" s="12"/>
      <c r="Q744" s="12"/>
      <c r="R744" s="12"/>
      <c r="S744" s="12"/>
      <c r="T744" s="9" t="s">
        <v>2002</v>
      </c>
      <c r="U744" s="9" t="s">
        <v>2006</v>
      </c>
    </row>
    <row r="745" customFormat="false" ht="15" hidden="false" customHeight="false" outlineLevel="0" collapsed="false">
      <c r="A745" s="9"/>
      <c r="B745" s="9"/>
      <c r="C745" s="9"/>
      <c r="D745" s="9"/>
      <c r="E745" s="9"/>
      <c r="F745" s="9" t="s">
        <v>1999</v>
      </c>
      <c r="G745" s="10" t="s">
        <v>2007</v>
      </c>
      <c r="H745" s="9"/>
      <c r="I745" s="9" t="n">
        <v>128</v>
      </c>
      <c r="J745" s="9" t="n">
        <v>3033</v>
      </c>
      <c r="K745" s="11" t="n">
        <v>13.724</v>
      </c>
      <c r="L745" s="11" t="n">
        <v>1</v>
      </c>
      <c r="M745" s="9" t="n">
        <v>0.5</v>
      </c>
      <c r="N745" s="11" t="n">
        <v>0</v>
      </c>
      <c r="O745" s="11" t="n">
        <v>0.6</v>
      </c>
      <c r="P745" s="12"/>
      <c r="Q745" s="12"/>
      <c r="R745" s="12"/>
      <c r="S745" s="12"/>
      <c r="T745" s="9" t="s">
        <v>2002</v>
      </c>
      <c r="U745" s="9" t="s">
        <v>2007</v>
      </c>
    </row>
    <row r="746" customFormat="false" ht="15" hidden="false" customHeight="false" outlineLevel="0" collapsed="false">
      <c r="A746" s="7" t="s">
        <v>1820</v>
      </c>
      <c r="B746" s="7" t="s">
        <v>2008</v>
      </c>
      <c r="C746" s="8" t="s">
        <v>529</v>
      </c>
      <c r="D746" s="7" t="s">
        <v>2009</v>
      </c>
      <c r="E746" s="7" t="n">
        <v>35</v>
      </c>
      <c r="F746" s="9" t="s">
        <v>2008</v>
      </c>
      <c r="G746" s="10" t="s">
        <v>2010</v>
      </c>
      <c r="H746" s="9" t="s">
        <v>529</v>
      </c>
      <c r="I746" s="9" t="n">
        <v>2</v>
      </c>
      <c r="J746" s="9" t="n">
        <v>1</v>
      </c>
      <c r="K746" s="11" t="n">
        <v>0.029</v>
      </c>
      <c r="L746" s="11" t="n">
        <v>1</v>
      </c>
      <c r="M746" s="9" t="n">
        <v>1</v>
      </c>
      <c r="N746" s="11" t="n">
        <v>0.8</v>
      </c>
      <c r="O746" s="11" t="n">
        <v>0.87</v>
      </c>
      <c r="P746" s="12"/>
      <c r="Q746" s="12"/>
      <c r="R746" s="12"/>
      <c r="S746" s="12"/>
      <c r="T746" s="9" t="s">
        <v>2011</v>
      </c>
      <c r="U746" s="9" t="s">
        <v>2010</v>
      </c>
    </row>
    <row r="747" customFormat="false" ht="15" hidden="false" customHeight="false" outlineLevel="0" collapsed="false">
      <c r="A747" s="7" t="s">
        <v>1820</v>
      </c>
      <c r="B747" s="7" t="s">
        <v>2012</v>
      </c>
      <c r="C747" s="8" t="s">
        <v>457</v>
      </c>
      <c r="D747" s="7" t="s">
        <v>2013</v>
      </c>
      <c r="E747" s="7" t="n">
        <v>501</v>
      </c>
      <c r="F747" s="9" t="s">
        <v>2012</v>
      </c>
      <c r="G747" s="10" t="s">
        <v>2014</v>
      </c>
      <c r="H747" s="9" t="s">
        <v>2015</v>
      </c>
      <c r="I747" s="9" t="n">
        <v>82</v>
      </c>
      <c r="J747" s="9" t="n">
        <v>904</v>
      </c>
      <c r="K747" s="11" t="n">
        <v>2.163</v>
      </c>
      <c r="L747" s="11" t="n">
        <v>1</v>
      </c>
      <c r="M747" s="9" t="n">
        <v>1</v>
      </c>
      <c r="N747" s="11" t="n">
        <v>0.518</v>
      </c>
      <c r="O747" s="11" t="n">
        <v>0.878</v>
      </c>
      <c r="P747" s="12"/>
      <c r="Q747" s="12"/>
      <c r="R747" s="12"/>
      <c r="S747" s="12"/>
      <c r="T747" s="9" t="s">
        <v>2016</v>
      </c>
      <c r="U747" s="9" t="s">
        <v>2014</v>
      </c>
    </row>
    <row r="748" customFormat="false" ht="15" hidden="false" customHeight="false" outlineLevel="0" collapsed="false">
      <c r="A748" s="9"/>
      <c r="B748" s="9"/>
      <c r="C748" s="9"/>
      <c r="D748" s="9"/>
      <c r="E748" s="9"/>
      <c r="F748" s="9" t="s">
        <v>2017</v>
      </c>
      <c r="G748" s="10" t="s">
        <v>2018</v>
      </c>
      <c r="H748" s="9" t="s">
        <v>675</v>
      </c>
      <c r="I748" s="9" t="n">
        <v>107</v>
      </c>
      <c r="J748" s="9" t="n">
        <v>3664</v>
      </c>
      <c r="K748" s="11" t="n">
        <v>8.766</v>
      </c>
      <c r="L748" s="11" t="n">
        <v>1</v>
      </c>
      <c r="M748" s="9" t="n">
        <v>1</v>
      </c>
      <c r="N748" s="11" t="n">
        <v>0.218</v>
      </c>
      <c r="O748" s="11" t="n">
        <v>0.783</v>
      </c>
      <c r="P748" s="12"/>
      <c r="Q748" s="12"/>
      <c r="R748" s="12"/>
      <c r="S748" s="12"/>
      <c r="T748" s="9" t="s">
        <v>2016</v>
      </c>
      <c r="U748" s="9" t="s">
        <v>2018</v>
      </c>
    </row>
    <row r="749" customFormat="false" ht="15" hidden="false" customHeight="false" outlineLevel="0" collapsed="false">
      <c r="A749" s="9"/>
      <c r="B749" s="9"/>
      <c r="C749" s="9"/>
      <c r="D749" s="9"/>
      <c r="E749" s="9"/>
      <c r="F749" s="9" t="s">
        <v>2012</v>
      </c>
      <c r="G749" s="10" t="s">
        <v>2019</v>
      </c>
      <c r="H749" s="9" t="s">
        <v>2020</v>
      </c>
      <c r="I749" s="9" t="n">
        <v>53</v>
      </c>
      <c r="J749" s="9" t="n">
        <v>506</v>
      </c>
      <c r="K749" s="11" t="n">
        <v>1.211</v>
      </c>
      <c r="L749" s="11" t="n">
        <v>1</v>
      </c>
      <c r="M749" s="9" t="n">
        <v>0.5</v>
      </c>
      <c r="N749" s="11" t="n">
        <v>0.542</v>
      </c>
      <c r="O749" s="11" t="n">
        <v>0.781</v>
      </c>
      <c r="P749" s="12"/>
      <c r="Q749" s="12"/>
      <c r="R749" s="12"/>
      <c r="S749" s="12"/>
      <c r="T749" s="9" t="s">
        <v>2016</v>
      </c>
      <c r="U749" s="9" t="s">
        <v>2019</v>
      </c>
    </row>
    <row r="750" customFormat="false" ht="15" hidden="false" customHeight="false" outlineLevel="0" collapsed="false">
      <c r="A750" s="9"/>
      <c r="B750" s="9"/>
      <c r="C750" s="9"/>
      <c r="D750" s="9"/>
      <c r="E750" s="9"/>
      <c r="F750" s="9" t="s">
        <v>2012</v>
      </c>
      <c r="G750" s="10" t="s">
        <v>2021</v>
      </c>
      <c r="H750" s="9" t="s">
        <v>2022</v>
      </c>
      <c r="I750" s="9" t="n">
        <v>51</v>
      </c>
      <c r="J750" s="9" t="n">
        <v>1322</v>
      </c>
      <c r="K750" s="11" t="n">
        <v>3.163</v>
      </c>
      <c r="L750" s="11" t="n">
        <v>1</v>
      </c>
      <c r="M750" s="9" t="n">
        <v>1</v>
      </c>
      <c r="N750" s="11" t="n">
        <v>0.196</v>
      </c>
      <c r="O750" s="11" t="n">
        <v>0.779</v>
      </c>
      <c r="P750" s="12"/>
      <c r="Q750" s="12"/>
      <c r="R750" s="12"/>
      <c r="S750" s="12"/>
      <c r="T750" s="9" t="s">
        <v>2016</v>
      </c>
      <c r="U750" s="9" t="s">
        <v>2021</v>
      </c>
    </row>
    <row r="751" customFormat="false" ht="15" hidden="false" customHeight="false" outlineLevel="0" collapsed="false">
      <c r="A751" s="9"/>
      <c r="B751" s="9"/>
      <c r="C751" s="9"/>
      <c r="D751" s="9"/>
      <c r="E751" s="9"/>
      <c r="F751" s="9" t="s">
        <v>2012</v>
      </c>
      <c r="G751" s="10" t="s">
        <v>2023</v>
      </c>
      <c r="H751" s="9" t="s">
        <v>2024</v>
      </c>
      <c r="I751" s="9" t="n">
        <v>48</v>
      </c>
      <c r="J751" s="9" t="n">
        <v>1086</v>
      </c>
      <c r="K751" s="11" t="n">
        <v>2.598</v>
      </c>
      <c r="L751" s="11" t="n">
        <v>1</v>
      </c>
      <c r="M751" s="9" t="n">
        <v>0</v>
      </c>
      <c r="N751" s="11" t="n">
        <v>0.375</v>
      </c>
      <c r="O751" s="11" t="n">
        <v>0.556</v>
      </c>
      <c r="P751" s="12"/>
      <c r="Q751" s="12"/>
      <c r="R751" s="12"/>
      <c r="S751" s="12"/>
      <c r="T751" s="9" t="s">
        <v>2016</v>
      </c>
      <c r="U751" s="9" t="s">
        <v>2023</v>
      </c>
    </row>
    <row r="752" customFormat="false" ht="15" hidden="false" customHeight="false" outlineLevel="0" collapsed="false">
      <c r="A752" s="7" t="s">
        <v>1820</v>
      </c>
      <c r="B752" s="7" t="s">
        <v>2025</v>
      </c>
      <c r="C752" s="8" t="s">
        <v>997</v>
      </c>
      <c r="D752" s="7" t="s">
        <v>2026</v>
      </c>
      <c r="E752" s="7" t="n">
        <v>487</v>
      </c>
      <c r="F752" s="9" t="s">
        <v>2025</v>
      </c>
      <c r="G752" s="10" t="s">
        <v>2027</v>
      </c>
      <c r="H752" s="9" t="s">
        <v>1000</v>
      </c>
      <c r="I752" s="9" t="n">
        <v>5</v>
      </c>
      <c r="J752" s="9" t="n">
        <v>0</v>
      </c>
      <c r="K752" s="11" t="n">
        <v>0</v>
      </c>
      <c r="L752" s="11" t="n">
        <v>1</v>
      </c>
      <c r="M752" s="9" t="n">
        <v>1</v>
      </c>
      <c r="N752" s="11" t="n">
        <v>1</v>
      </c>
      <c r="O752" s="11" t="n">
        <v>0.9</v>
      </c>
      <c r="P752" s="12"/>
      <c r="Q752" s="12"/>
      <c r="R752" s="12"/>
      <c r="S752" s="12"/>
      <c r="T752" s="9" t="s">
        <v>2028</v>
      </c>
      <c r="U752" s="9" t="s">
        <v>2027</v>
      </c>
    </row>
    <row r="753" customFormat="false" ht="15" hidden="false" customHeight="false" outlineLevel="0" collapsed="false">
      <c r="A753" s="9"/>
      <c r="B753" s="9"/>
      <c r="C753" s="9"/>
      <c r="D753" s="9"/>
      <c r="E753" s="9"/>
      <c r="F753" s="9" t="s">
        <v>2025</v>
      </c>
      <c r="G753" s="10" t="s">
        <v>2029</v>
      </c>
      <c r="H753" s="9" t="s">
        <v>2030</v>
      </c>
      <c r="I753" s="9" t="n">
        <v>22</v>
      </c>
      <c r="J753" s="9" t="n">
        <v>174</v>
      </c>
      <c r="K753" s="11" t="n">
        <v>0.448</v>
      </c>
      <c r="L753" s="11" t="n">
        <v>1</v>
      </c>
      <c r="M753" s="9" t="n">
        <v>0</v>
      </c>
      <c r="N753" s="11" t="n">
        <v>1</v>
      </c>
      <c r="O753" s="11" t="n">
        <v>0.7</v>
      </c>
      <c r="P753" s="12"/>
      <c r="Q753" s="12"/>
      <c r="R753" s="12"/>
      <c r="S753" s="12"/>
      <c r="T753" s="9" t="s">
        <v>2028</v>
      </c>
      <c r="U753" s="9" t="s">
        <v>2029</v>
      </c>
    </row>
    <row r="754" customFormat="false" ht="15" hidden="false" customHeight="false" outlineLevel="0" collapsed="false">
      <c r="A754" s="9"/>
      <c r="B754" s="9"/>
      <c r="C754" s="9"/>
      <c r="D754" s="9"/>
      <c r="E754" s="9"/>
      <c r="F754" s="9" t="s">
        <v>2025</v>
      </c>
      <c r="G754" s="10" t="s">
        <v>2031</v>
      </c>
      <c r="H754" s="9"/>
      <c r="I754" s="9" t="n">
        <v>4</v>
      </c>
      <c r="J754" s="9" t="n">
        <v>68</v>
      </c>
      <c r="K754" s="11" t="n">
        <v>0.175</v>
      </c>
      <c r="L754" s="11" t="n">
        <v>1</v>
      </c>
      <c r="M754" s="9" t="n">
        <v>0</v>
      </c>
      <c r="N754" s="11" t="n">
        <v>0.857</v>
      </c>
      <c r="O754" s="11" t="n">
        <v>0.679</v>
      </c>
      <c r="P754" s="12"/>
      <c r="Q754" s="12"/>
      <c r="R754" s="12"/>
      <c r="S754" s="12"/>
      <c r="T754" s="9" t="s">
        <v>2028</v>
      </c>
      <c r="U754" s="9" t="s">
        <v>2031</v>
      </c>
    </row>
    <row r="755" customFormat="false" ht="15" hidden="false" customHeight="false" outlineLevel="0" collapsed="false">
      <c r="A755" s="9"/>
      <c r="B755" s="9"/>
      <c r="C755" s="9"/>
      <c r="D755" s="9"/>
      <c r="E755" s="9"/>
      <c r="F755" s="9" t="s">
        <v>2032</v>
      </c>
      <c r="G755" s="10" t="s">
        <v>2033</v>
      </c>
      <c r="H755" s="9" t="s">
        <v>2034</v>
      </c>
      <c r="I755" s="9" t="n">
        <v>2</v>
      </c>
      <c r="J755" s="9" t="n">
        <v>41</v>
      </c>
      <c r="K755" s="11" t="n">
        <v>0.106</v>
      </c>
      <c r="L755" s="11" t="n">
        <v>1</v>
      </c>
      <c r="M755" s="9" t="n">
        <v>0</v>
      </c>
      <c r="N755" s="11" t="n">
        <v>0.4</v>
      </c>
      <c r="O755" s="11" t="n">
        <v>0.61</v>
      </c>
      <c r="P755" s="12"/>
      <c r="Q755" s="12"/>
      <c r="R755" s="12"/>
      <c r="S755" s="12"/>
      <c r="T755" s="9" t="s">
        <v>2028</v>
      </c>
      <c r="U755" s="9" t="s">
        <v>2033</v>
      </c>
    </row>
    <row r="756" customFormat="false" ht="15" hidden="false" customHeight="false" outlineLevel="0" collapsed="false">
      <c r="A756" s="9"/>
      <c r="B756" s="9"/>
      <c r="C756" s="9"/>
      <c r="D756" s="9"/>
      <c r="E756" s="9"/>
      <c r="F756" s="9" t="s">
        <v>2035</v>
      </c>
      <c r="G756" s="10" t="s">
        <v>2036</v>
      </c>
      <c r="H756" s="9" t="s">
        <v>2037</v>
      </c>
      <c r="I756" s="9" t="n">
        <v>1</v>
      </c>
      <c r="J756" s="9" t="n">
        <v>12</v>
      </c>
      <c r="K756" s="11" t="n">
        <v>0.031</v>
      </c>
      <c r="L756" s="11" t="n">
        <v>1</v>
      </c>
      <c r="M756" s="9" t="n">
        <v>0</v>
      </c>
      <c r="N756" s="11" t="n">
        <v>0.667</v>
      </c>
      <c r="O756" s="11" t="n">
        <v>0.6</v>
      </c>
      <c r="P756" s="12"/>
      <c r="Q756" s="12"/>
      <c r="R756" s="12"/>
      <c r="S756" s="12"/>
      <c r="T756" s="9" t="s">
        <v>2028</v>
      </c>
      <c r="U756" s="9" t="s">
        <v>2036</v>
      </c>
    </row>
    <row r="757" customFormat="false" ht="15" hidden="false" customHeight="false" outlineLevel="0" collapsed="false">
      <c r="A757" s="7" t="s">
        <v>1820</v>
      </c>
      <c r="B757" s="7" t="s">
        <v>2038</v>
      </c>
      <c r="C757" s="8" t="s">
        <v>1304</v>
      </c>
      <c r="D757" s="7" t="s">
        <v>2039</v>
      </c>
      <c r="E757" s="7" t="n">
        <v>73</v>
      </c>
      <c r="F757" s="9" t="s">
        <v>2040</v>
      </c>
      <c r="G757" s="10" t="s">
        <v>2041</v>
      </c>
      <c r="H757" s="9" t="s">
        <v>1304</v>
      </c>
      <c r="I757" s="9" t="n">
        <v>3</v>
      </c>
      <c r="J757" s="9" t="n">
        <v>3</v>
      </c>
      <c r="K757" s="11" t="n">
        <v>0.057</v>
      </c>
      <c r="L757" s="11" t="n">
        <v>1</v>
      </c>
      <c r="M757" s="9" t="n">
        <v>1</v>
      </c>
      <c r="N757" s="11" t="n">
        <v>0.6</v>
      </c>
      <c r="O757" s="11" t="n">
        <v>0.89</v>
      </c>
      <c r="P757" s="12"/>
      <c r="Q757" s="12"/>
      <c r="R757" s="12"/>
      <c r="S757" s="12"/>
      <c r="T757" s="9" t="s">
        <v>2042</v>
      </c>
      <c r="U757" s="9" t="s">
        <v>2041</v>
      </c>
    </row>
    <row r="758" customFormat="false" ht="15" hidden="false" customHeight="false" outlineLevel="0" collapsed="false">
      <c r="A758" s="9"/>
      <c r="B758" s="9"/>
      <c r="C758" s="9"/>
      <c r="D758" s="9"/>
      <c r="E758" s="9"/>
      <c r="F758" s="9" t="s">
        <v>2040</v>
      </c>
      <c r="G758" s="10" t="s">
        <v>2043</v>
      </c>
      <c r="H758" s="9" t="s">
        <v>578</v>
      </c>
      <c r="I758" s="9" t="n">
        <v>6</v>
      </c>
      <c r="J758" s="9" t="n">
        <v>46</v>
      </c>
      <c r="K758" s="11" t="n">
        <v>0.868</v>
      </c>
      <c r="L758" s="11" t="n">
        <v>1</v>
      </c>
      <c r="M758" s="9" t="n">
        <v>0.5</v>
      </c>
      <c r="N758" s="11" t="n">
        <v>0.75</v>
      </c>
      <c r="O758" s="11" t="n">
        <v>0.812</v>
      </c>
      <c r="P758" s="12"/>
      <c r="Q758" s="12"/>
      <c r="R758" s="12"/>
      <c r="S758" s="12"/>
      <c r="T758" s="9" t="s">
        <v>2042</v>
      </c>
      <c r="U758" s="9" t="s">
        <v>2043</v>
      </c>
    </row>
    <row r="759" customFormat="false" ht="15" hidden="false" customHeight="false" outlineLevel="0" collapsed="false">
      <c r="A759" s="9"/>
      <c r="B759" s="9"/>
      <c r="C759" s="9"/>
      <c r="D759" s="9"/>
      <c r="E759" s="9"/>
      <c r="F759" s="9" t="s">
        <v>2038</v>
      </c>
      <c r="G759" s="10" t="s">
        <v>2044</v>
      </c>
      <c r="H759" s="9"/>
      <c r="I759" s="9" t="n">
        <v>2</v>
      </c>
      <c r="J759" s="9" t="n">
        <v>0</v>
      </c>
      <c r="K759" s="11" t="n">
        <v>0</v>
      </c>
      <c r="L759" s="11" t="n">
        <v>1</v>
      </c>
      <c r="M759" s="9" t="n">
        <v>0</v>
      </c>
      <c r="N759" s="11" t="n">
        <v>1</v>
      </c>
      <c r="O759" s="11" t="n">
        <v>0.6</v>
      </c>
      <c r="P759" s="12"/>
      <c r="Q759" s="12"/>
      <c r="R759" s="12"/>
      <c r="S759" s="12"/>
      <c r="T759" s="9" t="s">
        <v>2042</v>
      </c>
      <c r="U759" s="9" t="s">
        <v>2044</v>
      </c>
    </row>
    <row r="760" customFormat="false" ht="15" hidden="false" customHeight="false" outlineLevel="0" collapsed="false">
      <c r="A760" s="9"/>
      <c r="B760" s="9"/>
      <c r="C760" s="9"/>
      <c r="D760" s="9"/>
      <c r="E760" s="9"/>
      <c r="F760" s="9" t="s">
        <v>2045</v>
      </c>
      <c r="G760" s="10" t="s">
        <v>2046</v>
      </c>
      <c r="H760" s="9"/>
      <c r="I760" s="9" t="n">
        <v>1</v>
      </c>
      <c r="J760" s="9" t="n">
        <v>0</v>
      </c>
      <c r="K760" s="11" t="n">
        <v>0</v>
      </c>
      <c r="L760" s="11" t="n">
        <v>1</v>
      </c>
      <c r="M760" s="9" t="n">
        <v>0</v>
      </c>
      <c r="N760" s="11" t="n">
        <v>1</v>
      </c>
      <c r="O760" s="11" t="n">
        <v>0.6</v>
      </c>
      <c r="P760" s="12"/>
      <c r="Q760" s="12"/>
      <c r="R760" s="12"/>
      <c r="S760" s="12"/>
      <c r="T760" s="9" t="s">
        <v>2042</v>
      </c>
      <c r="U760" s="9" t="s">
        <v>2046</v>
      </c>
    </row>
    <row r="761" customFormat="false" ht="15" hidden="false" customHeight="false" outlineLevel="0" collapsed="false">
      <c r="A761" s="7" t="s">
        <v>1820</v>
      </c>
      <c r="B761" s="7" t="s">
        <v>2047</v>
      </c>
      <c r="C761" s="8" t="s">
        <v>1632</v>
      </c>
      <c r="D761" s="7" t="s">
        <v>2048</v>
      </c>
      <c r="E761" s="7" t="n">
        <v>1</v>
      </c>
      <c r="F761" s="9" t="s">
        <v>2049</v>
      </c>
      <c r="G761" s="10" t="s">
        <v>2050</v>
      </c>
      <c r="H761" s="9" t="s">
        <v>1875</v>
      </c>
      <c r="I761" s="9" t="n">
        <v>5</v>
      </c>
      <c r="J761" s="9" t="n">
        <v>33</v>
      </c>
      <c r="K761" s="11" t="n">
        <v>33</v>
      </c>
      <c r="L761" s="11" t="n">
        <v>1</v>
      </c>
      <c r="M761" s="9" t="n">
        <v>1</v>
      </c>
      <c r="N761" s="11" t="n">
        <v>1</v>
      </c>
      <c r="O761" s="11" t="n">
        <v>0.9</v>
      </c>
      <c r="P761" s="12"/>
      <c r="Q761" s="12"/>
      <c r="R761" s="12"/>
      <c r="S761" s="12"/>
      <c r="T761" s="9" t="s">
        <v>2051</v>
      </c>
      <c r="U761" s="9" t="s">
        <v>2050</v>
      </c>
    </row>
    <row r="762" customFormat="false" ht="15" hidden="false" customHeight="false" outlineLevel="0" collapsed="false">
      <c r="A762" s="9"/>
      <c r="B762" s="9"/>
      <c r="C762" s="9"/>
      <c r="D762" s="9"/>
      <c r="E762" s="9"/>
      <c r="F762" s="9" t="s">
        <v>2052</v>
      </c>
      <c r="G762" s="10" t="s">
        <v>2053</v>
      </c>
      <c r="H762" s="9" t="s">
        <v>188</v>
      </c>
      <c r="I762" s="9" t="n">
        <v>4</v>
      </c>
      <c r="J762" s="9" t="n">
        <v>2</v>
      </c>
      <c r="K762" s="11" t="n">
        <v>2</v>
      </c>
      <c r="L762" s="11" t="n">
        <v>1</v>
      </c>
      <c r="M762" s="9" t="n">
        <v>0.5</v>
      </c>
      <c r="N762" s="11" t="n">
        <v>0.143</v>
      </c>
      <c r="O762" s="11" t="n">
        <v>0.671</v>
      </c>
      <c r="P762" s="12"/>
      <c r="Q762" s="12"/>
      <c r="R762" s="12"/>
      <c r="S762" s="12"/>
      <c r="T762" s="9" t="s">
        <v>2051</v>
      </c>
      <c r="U762" s="9" t="s">
        <v>2053</v>
      </c>
    </row>
    <row r="763" customFormat="false" ht="15" hidden="false" customHeight="false" outlineLevel="0" collapsed="false">
      <c r="A763" s="9"/>
      <c r="B763" s="9"/>
      <c r="C763" s="9"/>
      <c r="D763" s="9"/>
      <c r="E763" s="9"/>
      <c r="F763" s="9" t="s">
        <v>2052</v>
      </c>
      <c r="G763" s="10" t="s">
        <v>2054</v>
      </c>
      <c r="H763" s="9" t="s">
        <v>1975</v>
      </c>
      <c r="I763" s="9" t="n">
        <v>409</v>
      </c>
      <c r="J763" s="9" t="n">
        <v>116683</v>
      </c>
      <c r="K763" s="11" t="n">
        <v>116683</v>
      </c>
      <c r="L763" s="11" t="n">
        <v>1</v>
      </c>
      <c r="M763" s="9" t="n">
        <v>0.5</v>
      </c>
      <c r="N763" s="11" t="n">
        <v>0</v>
      </c>
      <c r="O763" s="11" t="n">
        <v>0.6</v>
      </c>
      <c r="P763" s="12"/>
      <c r="Q763" s="12"/>
      <c r="R763" s="12"/>
      <c r="S763" s="12"/>
      <c r="T763" s="9" t="s">
        <v>2051</v>
      </c>
      <c r="U763" s="9" t="s">
        <v>2054</v>
      </c>
    </row>
    <row r="764" customFormat="false" ht="15" hidden="false" customHeight="false" outlineLevel="0" collapsed="false">
      <c r="A764" s="9"/>
      <c r="B764" s="9"/>
      <c r="C764" s="9"/>
      <c r="D764" s="9"/>
      <c r="E764" s="9"/>
      <c r="F764" s="9" t="s">
        <v>2049</v>
      </c>
      <c r="G764" s="10" t="s">
        <v>2055</v>
      </c>
      <c r="H764" s="9"/>
      <c r="I764" s="9" t="n">
        <v>2</v>
      </c>
      <c r="J764" s="9" t="n">
        <v>0</v>
      </c>
      <c r="K764" s="11" t="n">
        <v>0</v>
      </c>
      <c r="L764" s="11" t="n">
        <v>1</v>
      </c>
      <c r="M764" s="9" t="n">
        <v>0</v>
      </c>
      <c r="N764" s="11" t="n">
        <v>1</v>
      </c>
      <c r="O764" s="11" t="n">
        <v>0.6</v>
      </c>
      <c r="P764" s="12"/>
      <c r="Q764" s="12"/>
      <c r="R764" s="12"/>
      <c r="S764" s="12"/>
      <c r="T764" s="9" t="s">
        <v>2051</v>
      </c>
      <c r="U764" s="9" t="s">
        <v>2055</v>
      </c>
    </row>
    <row r="765" customFormat="false" ht="15" hidden="false" customHeight="false" outlineLevel="0" collapsed="false">
      <c r="A765" s="9"/>
      <c r="B765" s="9"/>
      <c r="C765" s="9"/>
      <c r="D765" s="9"/>
      <c r="E765" s="9"/>
      <c r="F765" s="9" t="s">
        <v>2049</v>
      </c>
      <c r="G765" s="10" t="s">
        <v>2056</v>
      </c>
      <c r="H765" s="9"/>
      <c r="I765" s="9" t="n">
        <v>1</v>
      </c>
      <c r="J765" s="9" t="n">
        <v>0</v>
      </c>
      <c r="K765" s="11" t="n">
        <v>0</v>
      </c>
      <c r="L765" s="11" t="n">
        <v>1</v>
      </c>
      <c r="M765" s="9" t="n">
        <v>0</v>
      </c>
      <c r="N765" s="11" t="n">
        <v>1</v>
      </c>
      <c r="O765" s="11" t="n">
        <v>0.6</v>
      </c>
      <c r="P765" s="12"/>
      <c r="Q765" s="12"/>
      <c r="R765" s="12"/>
      <c r="S765" s="12"/>
      <c r="T765" s="9" t="s">
        <v>2051</v>
      </c>
      <c r="U765" s="9" t="s">
        <v>2056</v>
      </c>
    </row>
    <row r="766" customFormat="false" ht="15" hidden="false" customHeight="false" outlineLevel="0" collapsed="false">
      <c r="A766" s="7" t="s">
        <v>1820</v>
      </c>
      <c r="B766" s="7" t="s">
        <v>2057</v>
      </c>
      <c r="C766" s="8" t="s">
        <v>1822</v>
      </c>
      <c r="D766" s="7" t="s">
        <v>1858</v>
      </c>
      <c r="E766" s="7" t="n">
        <v>148</v>
      </c>
      <c r="F766" s="9" t="s">
        <v>2057</v>
      </c>
      <c r="G766" s="10" t="s">
        <v>2058</v>
      </c>
      <c r="H766" s="9" t="s">
        <v>1822</v>
      </c>
      <c r="I766" s="9" t="n">
        <v>1</v>
      </c>
      <c r="J766" s="9" t="n">
        <v>0</v>
      </c>
      <c r="K766" s="11" t="n">
        <v>0</v>
      </c>
      <c r="L766" s="11" t="n">
        <v>1</v>
      </c>
      <c r="M766" s="9" t="n">
        <v>1</v>
      </c>
      <c r="N766" s="11" t="n">
        <v>0.333</v>
      </c>
      <c r="O766" s="11" t="n">
        <v>0.8</v>
      </c>
      <c r="P766" s="12"/>
      <c r="Q766" s="12"/>
      <c r="R766" s="12"/>
      <c r="S766" s="12"/>
      <c r="T766" s="9" t="s">
        <v>2059</v>
      </c>
      <c r="U766" s="9" t="s">
        <v>2058</v>
      </c>
    </row>
    <row r="767" customFormat="false" ht="15" hidden="false" customHeight="false" outlineLevel="0" collapsed="false">
      <c r="A767" s="9"/>
      <c r="B767" s="9"/>
      <c r="C767" s="9"/>
      <c r="D767" s="9"/>
      <c r="E767" s="9"/>
      <c r="F767" s="9" t="s">
        <v>2057</v>
      </c>
      <c r="G767" s="10" t="s">
        <v>2060</v>
      </c>
      <c r="H767" s="9" t="s">
        <v>1172</v>
      </c>
      <c r="I767" s="9" t="n">
        <v>3</v>
      </c>
      <c r="J767" s="9" t="n">
        <v>81</v>
      </c>
      <c r="K767" s="11" t="n">
        <v>0.628</v>
      </c>
      <c r="L767" s="11" t="n">
        <v>1</v>
      </c>
      <c r="M767" s="9" t="n">
        <v>0</v>
      </c>
      <c r="N767" s="11" t="n">
        <v>0.4</v>
      </c>
      <c r="O767" s="11" t="n">
        <v>0.61</v>
      </c>
      <c r="P767" s="12"/>
      <c r="Q767" s="12"/>
      <c r="R767" s="12"/>
      <c r="S767" s="12"/>
      <c r="T767" s="9" t="s">
        <v>2059</v>
      </c>
      <c r="U767" s="9" t="s">
        <v>2060</v>
      </c>
    </row>
    <row r="768" customFormat="false" ht="15" hidden="false" customHeight="false" outlineLevel="0" collapsed="false">
      <c r="A768" s="9"/>
      <c r="B768" s="9"/>
      <c r="C768" s="9"/>
      <c r="D768" s="9"/>
      <c r="E768" s="9"/>
      <c r="F768" s="9" t="s">
        <v>2057</v>
      </c>
      <c r="G768" s="10" t="s">
        <v>2061</v>
      </c>
      <c r="H768" s="9"/>
      <c r="I768" s="9" t="n">
        <v>1</v>
      </c>
      <c r="J768" s="9" t="n">
        <v>0</v>
      </c>
      <c r="K768" s="11" t="n">
        <v>0</v>
      </c>
      <c r="L768" s="11" t="n">
        <v>1</v>
      </c>
      <c r="M768" s="9" t="n">
        <v>0</v>
      </c>
      <c r="N768" s="11" t="n">
        <v>0</v>
      </c>
      <c r="O768" s="11" t="n">
        <v>0.45</v>
      </c>
      <c r="P768" s="12"/>
      <c r="Q768" s="12"/>
      <c r="R768" s="12"/>
      <c r="S768" s="12"/>
      <c r="T768" s="9" t="s">
        <v>2059</v>
      </c>
      <c r="U768" s="9" t="s">
        <v>2061</v>
      </c>
    </row>
    <row r="769" customFormat="false" ht="15" hidden="false" customHeight="false" outlineLevel="0" collapsed="false">
      <c r="A769" s="7" t="s">
        <v>1820</v>
      </c>
      <c r="B769" s="7" t="s">
        <v>2062</v>
      </c>
      <c r="C769" s="8" t="s">
        <v>1433</v>
      </c>
      <c r="D769" s="7" t="s">
        <v>2063</v>
      </c>
      <c r="E769" s="7" t="n">
        <v>753</v>
      </c>
      <c r="F769" s="9" t="s">
        <v>2062</v>
      </c>
      <c r="G769" s="10" t="s">
        <v>2064</v>
      </c>
      <c r="H769" s="9" t="s">
        <v>1433</v>
      </c>
      <c r="I769" s="9" t="n">
        <v>1</v>
      </c>
      <c r="J769" s="9" t="n">
        <v>33</v>
      </c>
      <c r="K769" s="11" t="n">
        <v>0.044</v>
      </c>
      <c r="L769" s="11" t="n">
        <v>1</v>
      </c>
      <c r="M769" s="9" t="n">
        <v>1</v>
      </c>
      <c r="N769" s="11" t="n">
        <v>1</v>
      </c>
      <c r="O769" s="11" t="n">
        <v>0.95</v>
      </c>
      <c r="P769" s="12"/>
      <c r="Q769" s="12"/>
      <c r="R769" s="12"/>
      <c r="S769" s="12"/>
      <c r="T769" s="9" t="s">
        <v>2065</v>
      </c>
      <c r="U769" s="9" t="s">
        <v>2064</v>
      </c>
    </row>
    <row r="770" customFormat="false" ht="15" hidden="false" customHeight="false" outlineLevel="0" collapsed="false">
      <c r="A770" s="9"/>
      <c r="B770" s="9"/>
      <c r="C770" s="9"/>
      <c r="D770" s="9"/>
      <c r="E770" s="9"/>
      <c r="F770" s="9" t="s">
        <v>2062</v>
      </c>
      <c r="G770" s="10" t="s">
        <v>2066</v>
      </c>
      <c r="H770" s="9"/>
      <c r="I770" s="9" t="n">
        <v>8</v>
      </c>
      <c r="J770" s="9" t="n">
        <v>307</v>
      </c>
      <c r="K770" s="11" t="n">
        <v>0.408</v>
      </c>
      <c r="L770" s="11" t="n">
        <v>1</v>
      </c>
      <c r="M770" s="9" t="n">
        <v>0</v>
      </c>
      <c r="N770" s="11" t="n">
        <v>1</v>
      </c>
      <c r="O770" s="11" t="n">
        <v>0.7</v>
      </c>
      <c r="P770" s="12"/>
      <c r="Q770" s="12"/>
      <c r="R770" s="12"/>
      <c r="S770" s="12"/>
      <c r="T770" s="9" t="s">
        <v>2065</v>
      </c>
      <c r="U770" s="9" t="s">
        <v>2066</v>
      </c>
    </row>
    <row r="771" customFormat="false" ht="15" hidden="false" customHeight="false" outlineLevel="0" collapsed="false">
      <c r="A771" s="9"/>
      <c r="B771" s="9"/>
      <c r="C771" s="9"/>
      <c r="D771" s="9"/>
      <c r="E771" s="9"/>
      <c r="F771" s="9" t="s">
        <v>2062</v>
      </c>
      <c r="G771" s="10" t="s">
        <v>2067</v>
      </c>
      <c r="H771" s="9"/>
      <c r="I771" s="9" t="n">
        <v>1</v>
      </c>
      <c r="J771" s="9" t="n">
        <v>10</v>
      </c>
      <c r="K771" s="11" t="n">
        <v>0.013</v>
      </c>
      <c r="L771" s="11" t="n">
        <v>1</v>
      </c>
      <c r="M771" s="9" t="n">
        <v>0</v>
      </c>
      <c r="N771" s="11" t="n">
        <v>1</v>
      </c>
      <c r="O771" s="11" t="n">
        <v>0.6</v>
      </c>
      <c r="P771" s="12"/>
      <c r="Q771" s="12"/>
      <c r="R771" s="12"/>
      <c r="S771" s="12"/>
      <c r="T771" s="9" t="s">
        <v>2065</v>
      </c>
      <c r="U771" s="9" t="s">
        <v>2067</v>
      </c>
    </row>
    <row r="772" customFormat="false" ht="15" hidden="false" customHeight="false" outlineLevel="0" collapsed="false">
      <c r="A772" s="9"/>
      <c r="B772" s="9"/>
      <c r="C772" s="9"/>
      <c r="D772" s="9"/>
      <c r="E772" s="9"/>
      <c r="F772" s="9" t="s">
        <v>2068</v>
      </c>
      <c r="G772" s="10" t="s">
        <v>2069</v>
      </c>
      <c r="H772" s="9"/>
      <c r="I772" s="9" t="n">
        <v>1</v>
      </c>
      <c r="J772" s="9" t="n">
        <v>9</v>
      </c>
      <c r="K772" s="11" t="n">
        <v>0.012</v>
      </c>
      <c r="L772" s="11" t="n">
        <v>1</v>
      </c>
      <c r="M772" s="9" t="n">
        <v>0</v>
      </c>
      <c r="N772" s="11" t="n">
        <v>1</v>
      </c>
      <c r="O772" s="11" t="n">
        <v>0.6</v>
      </c>
      <c r="P772" s="12"/>
      <c r="Q772" s="12"/>
      <c r="R772" s="12"/>
      <c r="S772" s="12"/>
      <c r="T772" s="9" t="s">
        <v>2065</v>
      </c>
      <c r="U772" s="9" t="s">
        <v>2069</v>
      </c>
    </row>
    <row r="773" customFormat="false" ht="15" hidden="false" customHeight="false" outlineLevel="0" collapsed="false">
      <c r="A773" s="9"/>
      <c r="B773" s="9"/>
      <c r="C773" s="9"/>
      <c r="D773" s="9"/>
      <c r="E773" s="9"/>
      <c r="F773" s="9" t="s">
        <v>2070</v>
      </c>
      <c r="G773" s="10" t="s">
        <v>2071</v>
      </c>
      <c r="H773" s="9" t="s">
        <v>2072</v>
      </c>
      <c r="I773" s="9" t="n">
        <v>2</v>
      </c>
      <c r="J773" s="9" t="n">
        <v>11</v>
      </c>
      <c r="K773" s="11" t="n">
        <v>0.015</v>
      </c>
      <c r="L773" s="11" t="n">
        <v>1</v>
      </c>
      <c r="M773" s="9" t="n">
        <v>0</v>
      </c>
      <c r="N773" s="11" t="n">
        <v>1</v>
      </c>
      <c r="O773" s="11" t="n">
        <v>0.6</v>
      </c>
      <c r="P773" s="12"/>
      <c r="Q773" s="12"/>
      <c r="R773" s="12"/>
      <c r="S773" s="12"/>
      <c r="T773" s="9" t="s">
        <v>2065</v>
      </c>
      <c r="U773" s="9" t="s">
        <v>2071</v>
      </c>
    </row>
    <row r="774" customFormat="false" ht="15" hidden="false" customHeight="false" outlineLevel="0" collapsed="false">
      <c r="A774" s="7" t="s">
        <v>1820</v>
      </c>
      <c r="B774" s="7" t="s">
        <v>2073</v>
      </c>
      <c r="C774" s="8" t="s">
        <v>2074</v>
      </c>
      <c r="D774" s="7" t="s">
        <v>2075</v>
      </c>
      <c r="E774" s="7" t="n">
        <v>594</v>
      </c>
      <c r="F774" s="9" t="s">
        <v>2073</v>
      </c>
      <c r="G774" s="10" t="s">
        <v>2076</v>
      </c>
      <c r="H774" s="9" t="s">
        <v>2077</v>
      </c>
      <c r="I774" s="9" t="n">
        <v>105</v>
      </c>
      <c r="J774" s="9" t="n">
        <v>1389</v>
      </c>
      <c r="K774" s="11" t="n">
        <v>2.338</v>
      </c>
      <c r="L774" s="11" t="n">
        <v>1</v>
      </c>
      <c r="M774" s="9" t="n">
        <v>1</v>
      </c>
      <c r="N774" s="11" t="n">
        <v>0.688</v>
      </c>
      <c r="O774" s="11" t="n">
        <v>0.903</v>
      </c>
      <c r="P774" s="12"/>
      <c r="Q774" s="12"/>
      <c r="R774" s="12"/>
      <c r="S774" s="12"/>
      <c r="T774" s="9" t="s">
        <v>2078</v>
      </c>
      <c r="U774" s="9" t="s">
        <v>2076</v>
      </c>
    </row>
    <row r="775" customFormat="false" ht="15" hidden="false" customHeight="false" outlineLevel="0" collapsed="false">
      <c r="A775" s="9"/>
      <c r="B775" s="9"/>
      <c r="C775" s="9"/>
      <c r="D775" s="9"/>
      <c r="E775" s="9"/>
      <c r="F775" s="9" t="s">
        <v>2073</v>
      </c>
      <c r="G775" s="10" t="s">
        <v>2079</v>
      </c>
      <c r="H775" s="9" t="s">
        <v>2077</v>
      </c>
      <c r="I775" s="9" t="n">
        <v>25</v>
      </c>
      <c r="J775" s="9" t="n">
        <v>184</v>
      </c>
      <c r="K775" s="11" t="n">
        <v>0.31</v>
      </c>
      <c r="L775" s="11" t="n">
        <v>1</v>
      </c>
      <c r="M775" s="9" t="n">
        <v>0.5</v>
      </c>
      <c r="N775" s="11" t="n">
        <v>1</v>
      </c>
      <c r="O775" s="11" t="n">
        <v>0.85</v>
      </c>
      <c r="P775" s="12"/>
      <c r="Q775" s="12"/>
      <c r="R775" s="12"/>
      <c r="S775" s="12"/>
      <c r="T775" s="9" t="s">
        <v>2078</v>
      </c>
      <c r="U775" s="9" t="s">
        <v>2079</v>
      </c>
    </row>
    <row r="776" customFormat="false" ht="15" hidden="false" customHeight="false" outlineLevel="0" collapsed="false">
      <c r="A776" s="9"/>
      <c r="B776" s="9"/>
      <c r="C776" s="9"/>
      <c r="D776" s="9"/>
      <c r="E776" s="9"/>
      <c r="F776" s="9" t="s">
        <v>2073</v>
      </c>
      <c r="G776" s="10" t="s">
        <v>2080</v>
      </c>
      <c r="H776" s="9" t="s">
        <v>2081</v>
      </c>
      <c r="I776" s="9" t="n">
        <v>87</v>
      </c>
      <c r="J776" s="9" t="n">
        <v>13769</v>
      </c>
      <c r="K776" s="11" t="n">
        <v>23.18</v>
      </c>
      <c r="L776" s="11" t="n">
        <v>1</v>
      </c>
      <c r="M776" s="9" t="n">
        <v>0.5</v>
      </c>
      <c r="N776" s="11" t="n">
        <v>0.76</v>
      </c>
      <c r="O776" s="11" t="n">
        <v>0.714</v>
      </c>
      <c r="P776" s="12"/>
      <c r="Q776" s="12"/>
      <c r="R776" s="12"/>
      <c r="S776" s="12"/>
      <c r="T776" s="9" t="s">
        <v>2078</v>
      </c>
      <c r="U776" s="9" t="s">
        <v>2080</v>
      </c>
    </row>
    <row r="777" customFormat="false" ht="15" hidden="false" customHeight="false" outlineLevel="0" collapsed="false">
      <c r="A777" s="9"/>
      <c r="B777" s="9"/>
      <c r="C777" s="9"/>
      <c r="D777" s="9"/>
      <c r="E777" s="9"/>
      <c r="F777" s="9" t="s">
        <v>2073</v>
      </c>
      <c r="G777" s="10" t="s">
        <v>2082</v>
      </c>
      <c r="H777" s="9" t="s">
        <v>2083</v>
      </c>
      <c r="I777" s="9" t="n">
        <v>38</v>
      </c>
      <c r="J777" s="9" t="n">
        <v>425</v>
      </c>
      <c r="K777" s="11" t="n">
        <v>0.715</v>
      </c>
      <c r="L777" s="11" t="n">
        <v>1</v>
      </c>
      <c r="M777" s="9" t="n">
        <v>0.5</v>
      </c>
      <c r="N777" s="11" t="n">
        <v>0</v>
      </c>
      <c r="O777" s="11" t="n">
        <v>0.7</v>
      </c>
      <c r="P777" s="12"/>
      <c r="Q777" s="12"/>
      <c r="R777" s="12"/>
      <c r="S777" s="12"/>
      <c r="T777" s="9" t="s">
        <v>2078</v>
      </c>
      <c r="U777" s="9" t="s">
        <v>2082</v>
      </c>
    </row>
    <row r="778" customFormat="false" ht="15" hidden="false" customHeight="false" outlineLevel="0" collapsed="false">
      <c r="A778" s="9"/>
      <c r="B778" s="9"/>
      <c r="C778" s="9"/>
      <c r="D778" s="9"/>
      <c r="E778" s="9"/>
      <c r="F778" s="9" t="s">
        <v>2073</v>
      </c>
      <c r="G778" s="10" t="s">
        <v>2084</v>
      </c>
      <c r="H778" s="9" t="s">
        <v>2077</v>
      </c>
      <c r="I778" s="9" t="n">
        <v>23</v>
      </c>
      <c r="J778" s="9" t="n">
        <v>142</v>
      </c>
      <c r="K778" s="11" t="n">
        <v>0.239</v>
      </c>
      <c r="L778" s="11" t="n">
        <v>1</v>
      </c>
      <c r="M778" s="9" t="n">
        <v>0.5</v>
      </c>
      <c r="N778" s="11" t="n">
        <v>0</v>
      </c>
      <c r="O778" s="11" t="n">
        <v>0.7</v>
      </c>
      <c r="P778" s="12"/>
      <c r="Q778" s="12"/>
      <c r="R778" s="12"/>
      <c r="S778" s="12"/>
      <c r="T778" s="9" t="s">
        <v>2078</v>
      </c>
      <c r="U778" s="9" t="s">
        <v>2084</v>
      </c>
    </row>
    <row r="779" customFormat="false" ht="15" hidden="false" customHeight="false" outlineLevel="0" collapsed="false">
      <c r="A779" s="7" t="s">
        <v>1820</v>
      </c>
      <c r="B779" s="7" t="s">
        <v>2085</v>
      </c>
      <c r="C779" s="8" t="s">
        <v>744</v>
      </c>
      <c r="D779" s="7" t="s">
        <v>2086</v>
      </c>
      <c r="E779" s="7" t="n">
        <v>160</v>
      </c>
      <c r="F779" s="9" t="s">
        <v>2085</v>
      </c>
      <c r="G779" s="10" t="s">
        <v>2087</v>
      </c>
      <c r="H779" s="9" t="s">
        <v>748</v>
      </c>
      <c r="I779" s="9" t="n">
        <v>98</v>
      </c>
      <c r="J779" s="9" t="n">
        <v>3350</v>
      </c>
      <c r="K779" s="11" t="n">
        <v>20.938</v>
      </c>
      <c r="L779" s="11" t="n">
        <v>1</v>
      </c>
      <c r="M779" s="9" t="n">
        <v>1</v>
      </c>
      <c r="N779" s="11" t="n">
        <v>0</v>
      </c>
      <c r="O779" s="11" t="n">
        <v>0.75</v>
      </c>
      <c r="P779" s="12"/>
      <c r="Q779" s="12"/>
      <c r="R779" s="12"/>
      <c r="S779" s="12"/>
      <c r="T779" s="9" t="s">
        <v>2088</v>
      </c>
      <c r="U779" s="9" t="s">
        <v>2087</v>
      </c>
    </row>
    <row r="780" customFormat="false" ht="15" hidden="false" customHeight="false" outlineLevel="0" collapsed="false">
      <c r="A780" s="9"/>
      <c r="B780" s="9"/>
      <c r="C780" s="9"/>
      <c r="D780" s="9"/>
      <c r="E780" s="9"/>
      <c r="F780" s="9" t="s">
        <v>2089</v>
      </c>
      <c r="G780" s="10" t="s">
        <v>2090</v>
      </c>
      <c r="H780" s="9" t="s">
        <v>2091</v>
      </c>
      <c r="I780" s="9" t="n">
        <v>217</v>
      </c>
      <c r="J780" s="9" t="n">
        <v>4629</v>
      </c>
      <c r="K780" s="11" t="n">
        <v>28.931</v>
      </c>
      <c r="L780" s="11" t="n">
        <v>0.784</v>
      </c>
      <c r="M780" s="9" t="n">
        <v>1</v>
      </c>
      <c r="N780" s="11" t="n">
        <v>0</v>
      </c>
      <c r="O780" s="11" t="n">
        <v>0.653</v>
      </c>
      <c r="P780" s="12"/>
      <c r="Q780" s="12"/>
      <c r="R780" s="12"/>
      <c r="S780" s="12"/>
      <c r="T780" s="9" t="s">
        <v>2088</v>
      </c>
      <c r="U780" s="9" t="s">
        <v>2090</v>
      </c>
    </row>
    <row r="781" customFormat="false" ht="15" hidden="false" customHeight="false" outlineLevel="0" collapsed="false">
      <c r="A781" s="9"/>
      <c r="B781" s="9"/>
      <c r="C781" s="9"/>
      <c r="D781" s="9"/>
      <c r="E781" s="9"/>
      <c r="F781" s="9" t="s">
        <v>2092</v>
      </c>
      <c r="G781" s="10" t="s">
        <v>2093</v>
      </c>
      <c r="H781" s="9" t="s">
        <v>2094</v>
      </c>
      <c r="I781" s="9" t="n">
        <v>296</v>
      </c>
      <c r="J781" s="9" t="n">
        <v>4256</v>
      </c>
      <c r="K781" s="11" t="n">
        <v>26.6</v>
      </c>
      <c r="L781" s="11" t="n">
        <v>0.92</v>
      </c>
      <c r="M781" s="9" t="n">
        <v>0</v>
      </c>
      <c r="N781" s="11" t="n">
        <v>0.824</v>
      </c>
      <c r="O781" s="11" t="n">
        <v>0.538</v>
      </c>
      <c r="P781" s="12"/>
      <c r="Q781" s="12"/>
      <c r="R781" s="12"/>
      <c r="S781" s="12"/>
      <c r="T781" s="9" t="s">
        <v>2088</v>
      </c>
      <c r="U781" s="9" t="s">
        <v>2093</v>
      </c>
    </row>
    <row r="782" customFormat="false" ht="15" hidden="false" customHeight="false" outlineLevel="0" collapsed="false">
      <c r="A782" s="9"/>
      <c r="B782" s="9"/>
      <c r="C782" s="9"/>
      <c r="D782" s="9"/>
      <c r="E782" s="9"/>
      <c r="F782" s="9" t="s">
        <v>2095</v>
      </c>
      <c r="G782" s="10" t="s">
        <v>2096</v>
      </c>
      <c r="H782" s="9" t="s">
        <v>2097</v>
      </c>
      <c r="I782" s="9" t="n">
        <v>139</v>
      </c>
      <c r="J782" s="9" t="n">
        <v>4746</v>
      </c>
      <c r="K782" s="11" t="n">
        <v>29.663</v>
      </c>
      <c r="L782" s="11" t="n">
        <v>0.92</v>
      </c>
      <c r="M782" s="9" t="n">
        <v>0</v>
      </c>
      <c r="N782" s="11" t="n">
        <v>0.682</v>
      </c>
      <c r="O782" s="11" t="n">
        <v>0.516</v>
      </c>
      <c r="P782" s="12"/>
      <c r="Q782" s="12"/>
      <c r="R782" s="12"/>
      <c r="S782" s="12"/>
      <c r="T782" s="9" t="s">
        <v>2088</v>
      </c>
      <c r="U782" s="9" t="s">
        <v>2096</v>
      </c>
    </row>
    <row r="783" customFormat="false" ht="15" hidden="false" customHeight="false" outlineLevel="0" collapsed="false">
      <c r="A783" s="9"/>
      <c r="B783" s="9"/>
      <c r="C783" s="9"/>
      <c r="D783" s="9"/>
      <c r="E783" s="9"/>
      <c r="F783" s="9" t="s">
        <v>2085</v>
      </c>
      <c r="G783" s="10" t="s">
        <v>2098</v>
      </c>
      <c r="H783" s="9" t="s">
        <v>2099</v>
      </c>
      <c r="I783" s="9" t="n">
        <v>156</v>
      </c>
      <c r="J783" s="9" t="n">
        <v>5009</v>
      </c>
      <c r="K783" s="11" t="n">
        <v>31.306</v>
      </c>
      <c r="L783" s="11" t="n">
        <v>1</v>
      </c>
      <c r="M783" s="9" t="n">
        <v>0</v>
      </c>
      <c r="N783" s="11" t="n">
        <v>0</v>
      </c>
      <c r="O783" s="11" t="n">
        <v>0.45</v>
      </c>
      <c r="P783" s="12"/>
      <c r="Q783" s="12"/>
      <c r="R783" s="12"/>
      <c r="S783" s="12"/>
      <c r="T783" s="9" t="s">
        <v>2088</v>
      </c>
      <c r="U783" s="9" t="s">
        <v>2098</v>
      </c>
    </row>
    <row r="784" customFormat="false" ht="15" hidden="false" customHeight="false" outlineLevel="0" collapsed="false">
      <c r="A784" s="7" t="s">
        <v>1820</v>
      </c>
      <c r="B784" s="7" t="s">
        <v>2100</v>
      </c>
      <c r="C784" s="8" t="s">
        <v>1494</v>
      </c>
      <c r="D784" s="7" t="s">
        <v>176</v>
      </c>
      <c r="E784" s="7" t="n">
        <v>2717</v>
      </c>
      <c r="F784" s="9" t="s">
        <v>2101</v>
      </c>
      <c r="G784" s="10" t="s">
        <v>2102</v>
      </c>
      <c r="H784" s="9" t="s">
        <v>1494</v>
      </c>
      <c r="I784" s="9" t="n">
        <v>475</v>
      </c>
      <c r="J784" s="9" t="n">
        <v>11583</v>
      </c>
      <c r="K784" s="11" t="n">
        <v>4.263</v>
      </c>
      <c r="L784" s="11" t="n">
        <v>1</v>
      </c>
      <c r="M784" s="9" t="n">
        <v>1</v>
      </c>
      <c r="N784" s="11" t="n">
        <v>0.23</v>
      </c>
      <c r="O784" s="11" t="n">
        <v>0.784</v>
      </c>
      <c r="P784" s="12"/>
      <c r="Q784" s="12"/>
      <c r="R784" s="12"/>
      <c r="S784" s="12"/>
      <c r="T784" s="9" t="s">
        <v>2103</v>
      </c>
      <c r="U784" s="9" t="s">
        <v>2102</v>
      </c>
    </row>
    <row r="785" customFormat="false" ht="15" hidden="false" customHeight="false" outlineLevel="0" collapsed="false">
      <c r="A785" s="9"/>
      <c r="B785" s="9"/>
      <c r="C785" s="9"/>
      <c r="D785" s="9"/>
      <c r="E785" s="9"/>
      <c r="F785" s="9" t="s">
        <v>2100</v>
      </c>
      <c r="G785" s="10" t="s">
        <v>2104</v>
      </c>
      <c r="H785" s="9" t="s">
        <v>2105</v>
      </c>
      <c r="I785" s="9" t="n">
        <v>181</v>
      </c>
      <c r="J785" s="9" t="n">
        <v>2899</v>
      </c>
      <c r="K785" s="11" t="n">
        <v>1.067</v>
      </c>
      <c r="L785" s="11" t="n">
        <v>1</v>
      </c>
      <c r="M785" s="9" t="n">
        <v>0</v>
      </c>
      <c r="N785" s="11" t="n">
        <v>1</v>
      </c>
      <c r="O785" s="11" t="n">
        <v>0.7</v>
      </c>
      <c r="P785" s="12"/>
      <c r="Q785" s="12"/>
      <c r="R785" s="12"/>
      <c r="S785" s="12"/>
      <c r="T785" s="9" t="s">
        <v>2103</v>
      </c>
      <c r="U785" s="9" t="s">
        <v>2104</v>
      </c>
    </row>
    <row r="786" customFormat="false" ht="15" hidden="false" customHeight="false" outlineLevel="0" collapsed="false">
      <c r="A786" s="9"/>
      <c r="B786" s="9"/>
      <c r="C786" s="9"/>
      <c r="D786" s="9"/>
      <c r="E786" s="9"/>
      <c r="F786" s="9" t="s">
        <v>2106</v>
      </c>
      <c r="G786" s="10" t="s">
        <v>2107</v>
      </c>
      <c r="H786" s="9" t="s">
        <v>2108</v>
      </c>
      <c r="I786" s="9" t="n">
        <v>179</v>
      </c>
      <c r="J786" s="9" t="n">
        <v>4603</v>
      </c>
      <c r="K786" s="11" t="n">
        <v>1.694</v>
      </c>
      <c r="L786" s="11" t="n">
        <v>1</v>
      </c>
      <c r="M786" s="9" t="n">
        <v>0</v>
      </c>
      <c r="N786" s="11" t="n">
        <v>1</v>
      </c>
      <c r="O786" s="11" t="n">
        <v>0.65</v>
      </c>
      <c r="P786" s="12"/>
      <c r="Q786" s="12"/>
      <c r="R786" s="12"/>
      <c r="S786" s="12"/>
      <c r="T786" s="9" t="s">
        <v>2103</v>
      </c>
      <c r="U786" s="9" t="s">
        <v>2107</v>
      </c>
    </row>
    <row r="787" customFormat="false" ht="15" hidden="false" customHeight="false" outlineLevel="0" collapsed="false">
      <c r="A787" s="9"/>
      <c r="B787" s="9"/>
      <c r="C787" s="9"/>
      <c r="D787" s="9"/>
      <c r="E787" s="9"/>
      <c r="F787" s="9" t="s">
        <v>2100</v>
      </c>
      <c r="G787" s="10" t="s">
        <v>2109</v>
      </c>
      <c r="H787" s="9" t="s">
        <v>1655</v>
      </c>
      <c r="I787" s="9" t="n">
        <v>190</v>
      </c>
      <c r="J787" s="9" t="n">
        <v>2460</v>
      </c>
      <c r="K787" s="11" t="n">
        <v>0.905</v>
      </c>
      <c r="L787" s="11" t="n">
        <v>1</v>
      </c>
      <c r="M787" s="9" t="n">
        <v>0</v>
      </c>
      <c r="N787" s="11" t="n">
        <v>0.438</v>
      </c>
      <c r="O787" s="11" t="n">
        <v>0.616</v>
      </c>
      <c r="P787" s="12"/>
      <c r="Q787" s="12"/>
      <c r="R787" s="12"/>
      <c r="S787" s="12"/>
      <c r="T787" s="9" t="s">
        <v>2103</v>
      </c>
      <c r="U787" s="9" t="s">
        <v>2109</v>
      </c>
    </row>
    <row r="788" customFormat="false" ht="15" hidden="false" customHeight="false" outlineLevel="0" collapsed="false">
      <c r="A788" s="9"/>
      <c r="B788" s="9"/>
      <c r="C788" s="9"/>
      <c r="D788" s="9"/>
      <c r="E788" s="9"/>
      <c r="F788" s="9" t="s">
        <v>2100</v>
      </c>
      <c r="G788" s="10" t="s">
        <v>2110</v>
      </c>
      <c r="H788" s="9" t="s">
        <v>505</v>
      </c>
      <c r="I788" s="9" t="n">
        <v>51</v>
      </c>
      <c r="J788" s="9" t="n">
        <v>391</v>
      </c>
      <c r="K788" s="11" t="n">
        <v>0.144</v>
      </c>
      <c r="L788" s="11" t="n">
        <v>1</v>
      </c>
      <c r="M788" s="9" t="n">
        <v>0</v>
      </c>
      <c r="N788" s="11" t="n">
        <v>0.438</v>
      </c>
      <c r="O788" s="11" t="n">
        <v>0.616</v>
      </c>
      <c r="P788" s="12"/>
      <c r="Q788" s="12"/>
      <c r="R788" s="12"/>
      <c r="S788" s="12"/>
      <c r="T788" s="9" t="s">
        <v>2103</v>
      </c>
      <c r="U788" s="9" t="s">
        <v>2110</v>
      </c>
    </row>
    <row r="789" customFormat="false" ht="15" hidden="false" customHeight="false" outlineLevel="0" collapsed="false">
      <c r="A789" s="7" t="s">
        <v>1820</v>
      </c>
      <c r="B789" s="7" t="s">
        <v>2111</v>
      </c>
      <c r="C789" s="8" t="s">
        <v>372</v>
      </c>
      <c r="D789" s="7" t="s">
        <v>2112</v>
      </c>
      <c r="E789" s="7" t="n">
        <v>1</v>
      </c>
      <c r="F789" s="9" t="s">
        <v>2111</v>
      </c>
      <c r="G789" s="10" t="s">
        <v>2113</v>
      </c>
      <c r="H789" s="9"/>
      <c r="I789" s="9" t="n">
        <v>4</v>
      </c>
      <c r="J789" s="9" t="n">
        <v>0</v>
      </c>
      <c r="K789" s="11" t="n">
        <v>0</v>
      </c>
      <c r="L789" s="11" t="n">
        <v>1</v>
      </c>
      <c r="M789" s="9" t="n">
        <v>1</v>
      </c>
      <c r="N789" s="11" t="n">
        <v>0.2</v>
      </c>
      <c r="O789" s="11" t="n">
        <v>0.78</v>
      </c>
      <c r="P789" s="12"/>
      <c r="Q789" s="12"/>
      <c r="R789" s="12"/>
      <c r="S789" s="12"/>
      <c r="T789" s="9" t="s">
        <v>2114</v>
      </c>
      <c r="U789" s="9" t="s">
        <v>2113</v>
      </c>
    </row>
    <row r="790" customFormat="false" ht="15" hidden="false" customHeight="false" outlineLevel="0" collapsed="false">
      <c r="A790" s="7" t="s">
        <v>1820</v>
      </c>
      <c r="B790" s="7" t="s">
        <v>2115</v>
      </c>
      <c r="C790" s="8" t="s">
        <v>935</v>
      </c>
      <c r="D790" s="7" t="s">
        <v>2116</v>
      </c>
      <c r="E790" s="7" t="n">
        <v>136</v>
      </c>
      <c r="F790" s="9" t="s">
        <v>2117</v>
      </c>
      <c r="G790" s="10" t="s">
        <v>2118</v>
      </c>
      <c r="H790" s="9" t="s">
        <v>935</v>
      </c>
      <c r="I790" s="9" t="n">
        <v>57</v>
      </c>
      <c r="J790" s="9" t="n">
        <v>310</v>
      </c>
      <c r="K790" s="11" t="n">
        <v>2.279</v>
      </c>
      <c r="L790" s="11" t="n">
        <v>1</v>
      </c>
      <c r="M790" s="9" t="n">
        <v>1</v>
      </c>
      <c r="N790" s="11" t="n">
        <v>0.767</v>
      </c>
      <c r="O790" s="11" t="n">
        <v>0.915</v>
      </c>
      <c r="P790" s="12"/>
      <c r="Q790" s="12"/>
      <c r="R790" s="12"/>
      <c r="S790" s="12"/>
      <c r="T790" s="9" t="s">
        <v>2119</v>
      </c>
      <c r="U790" s="9" t="s">
        <v>2118</v>
      </c>
    </row>
    <row r="791" customFormat="false" ht="15" hidden="false" customHeight="false" outlineLevel="0" collapsed="false">
      <c r="A791" s="9"/>
      <c r="B791" s="9"/>
      <c r="C791" s="9"/>
      <c r="D791" s="9"/>
      <c r="E791" s="9"/>
      <c r="F791" s="9" t="s">
        <v>2120</v>
      </c>
      <c r="G791" s="10" t="s">
        <v>2121</v>
      </c>
      <c r="H791" s="9" t="s">
        <v>2122</v>
      </c>
      <c r="I791" s="9" t="n">
        <v>8</v>
      </c>
      <c r="J791" s="9" t="n">
        <v>370</v>
      </c>
      <c r="K791" s="11" t="n">
        <v>2.721</v>
      </c>
      <c r="L791" s="11" t="n">
        <v>1</v>
      </c>
      <c r="M791" s="9" t="n">
        <v>1</v>
      </c>
      <c r="N791" s="11" t="n">
        <v>0.167</v>
      </c>
      <c r="O791" s="11" t="n">
        <v>0.825</v>
      </c>
      <c r="P791" s="12"/>
      <c r="Q791" s="12"/>
      <c r="R791" s="12"/>
      <c r="S791" s="12"/>
      <c r="T791" s="9" t="s">
        <v>2119</v>
      </c>
      <c r="U791" s="9" t="s">
        <v>2121</v>
      </c>
    </row>
    <row r="792" customFormat="false" ht="15" hidden="false" customHeight="false" outlineLevel="0" collapsed="false">
      <c r="A792" s="9"/>
      <c r="B792" s="9"/>
      <c r="C792" s="9"/>
      <c r="D792" s="9"/>
      <c r="E792" s="9"/>
      <c r="F792" s="9" t="s">
        <v>2123</v>
      </c>
      <c r="G792" s="10" t="s">
        <v>2124</v>
      </c>
      <c r="H792" s="9" t="s">
        <v>428</v>
      </c>
      <c r="I792" s="9" t="n">
        <v>1</v>
      </c>
      <c r="J792" s="9" t="n">
        <v>7</v>
      </c>
      <c r="K792" s="11" t="n">
        <v>0.051</v>
      </c>
      <c r="L792" s="11" t="n">
        <v>1</v>
      </c>
      <c r="M792" s="9" t="n">
        <v>0.5</v>
      </c>
      <c r="N792" s="11" t="n">
        <v>1</v>
      </c>
      <c r="O792" s="11" t="n">
        <v>0.8</v>
      </c>
      <c r="P792" s="12"/>
      <c r="Q792" s="12"/>
      <c r="R792" s="12"/>
      <c r="S792" s="12"/>
      <c r="T792" s="9" t="s">
        <v>2119</v>
      </c>
      <c r="U792" s="9" t="s">
        <v>2124</v>
      </c>
    </row>
    <row r="793" customFormat="false" ht="15" hidden="false" customHeight="false" outlineLevel="0" collapsed="false">
      <c r="A793" s="9"/>
      <c r="B793" s="9"/>
      <c r="C793" s="9"/>
      <c r="D793" s="9"/>
      <c r="E793" s="9"/>
      <c r="F793" s="9" t="s">
        <v>2125</v>
      </c>
      <c r="G793" s="10" t="s">
        <v>2126</v>
      </c>
      <c r="H793" s="9" t="s">
        <v>58</v>
      </c>
      <c r="I793" s="9" t="n">
        <v>3</v>
      </c>
      <c r="J793" s="9" t="n">
        <v>152</v>
      </c>
      <c r="K793" s="11" t="n">
        <v>1.118</v>
      </c>
      <c r="L793" s="11" t="n">
        <v>1</v>
      </c>
      <c r="M793" s="9" t="n">
        <v>0.5</v>
      </c>
      <c r="N793" s="11" t="n">
        <v>0</v>
      </c>
      <c r="O793" s="11" t="n">
        <v>0.7</v>
      </c>
      <c r="P793" s="12"/>
      <c r="Q793" s="12"/>
      <c r="R793" s="12"/>
      <c r="S793" s="12"/>
      <c r="T793" s="9" t="s">
        <v>2119</v>
      </c>
      <c r="U793" s="9" t="s">
        <v>2126</v>
      </c>
    </row>
    <row r="794" customFormat="false" ht="15" hidden="false" customHeight="false" outlineLevel="0" collapsed="false">
      <c r="A794" s="9"/>
      <c r="B794" s="9"/>
      <c r="C794" s="9"/>
      <c r="D794" s="9"/>
      <c r="E794" s="9"/>
      <c r="F794" s="9" t="s">
        <v>2127</v>
      </c>
      <c r="G794" s="10" t="s">
        <v>2128</v>
      </c>
      <c r="H794" s="9"/>
      <c r="I794" s="9" t="n">
        <v>2</v>
      </c>
      <c r="J794" s="9" t="n">
        <v>15</v>
      </c>
      <c r="K794" s="11" t="n">
        <v>0.11</v>
      </c>
      <c r="L794" s="11" t="n">
        <v>1</v>
      </c>
      <c r="M794" s="9" t="n">
        <v>0</v>
      </c>
      <c r="N794" s="11" t="n">
        <v>0.75</v>
      </c>
      <c r="O794" s="11" t="n">
        <v>0.662</v>
      </c>
      <c r="P794" s="12"/>
      <c r="Q794" s="12"/>
      <c r="R794" s="12"/>
      <c r="S794" s="12"/>
      <c r="T794" s="9" t="s">
        <v>2119</v>
      </c>
      <c r="U794" s="9" t="s">
        <v>2128</v>
      </c>
    </row>
    <row r="795" customFormat="false" ht="15" hidden="false" customHeight="false" outlineLevel="0" collapsed="false">
      <c r="A795" s="7" t="s">
        <v>1820</v>
      </c>
      <c r="B795" s="7" t="s">
        <v>2129</v>
      </c>
      <c r="C795" s="8" t="s">
        <v>380</v>
      </c>
      <c r="D795" s="7" t="s">
        <v>1561</v>
      </c>
      <c r="E795" s="7" t="n">
        <v>981</v>
      </c>
      <c r="F795" s="9" t="s">
        <v>2129</v>
      </c>
      <c r="G795" s="10" t="s">
        <v>2130</v>
      </c>
      <c r="H795" s="9" t="s">
        <v>380</v>
      </c>
      <c r="I795" s="9" t="n">
        <v>1</v>
      </c>
      <c r="J795" s="9" t="n">
        <v>7</v>
      </c>
      <c r="K795" s="11" t="n">
        <v>0.009</v>
      </c>
      <c r="L795" s="11" t="n">
        <v>1</v>
      </c>
      <c r="M795" s="9" t="n">
        <v>1</v>
      </c>
      <c r="N795" s="11" t="n">
        <v>1</v>
      </c>
      <c r="O795" s="11" t="n">
        <v>0.9</v>
      </c>
      <c r="P795" s="12"/>
      <c r="Q795" s="12"/>
      <c r="R795" s="12"/>
      <c r="S795" s="12"/>
      <c r="T795" s="9" t="s">
        <v>2131</v>
      </c>
      <c r="U795" s="9" t="s">
        <v>2130</v>
      </c>
    </row>
    <row r="796" customFormat="false" ht="15" hidden="false" customHeight="false" outlineLevel="0" collapsed="false">
      <c r="A796" s="9"/>
      <c r="B796" s="9"/>
      <c r="C796" s="9"/>
      <c r="D796" s="9"/>
      <c r="E796" s="9"/>
      <c r="F796" s="9" t="s">
        <v>2129</v>
      </c>
      <c r="G796" s="10" t="s">
        <v>2132</v>
      </c>
      <c r="H796" s="9" t="s">
        <v>384</v>
      </c>
      <c r="I796" s="9" t="n">
        <v>2</v>
      </c>
      <c r="J796" s="9" t="n">
        <v>2</v>
      </c>
      <c r="K796" s="11" t="n">
        <v>0.003</v>
      </c>
      <c r="L796" s="11" t="n">
        <v>1</v>
      </c>
      <c r="M796" s="9" t="n">
        <v>1</v>
      </c>
      <c r="N796" s="11" t="n">
        <v>1</v>
      </c>
      <c r="O796" s="11" t="n">
        <v>0.9</v>
      </c>
      <c r="P796" s="12"/>
      <c r="Q796" s="12"/>
      <c r="R796" s="12"/>
      <c r="S796" s="12"/>
      <c r="T796" s="9" t="s">
        <v>2131</v>
      </c>
      <c r="U796" s="9" t="s">
        <v>2132</v>
      </c>
    </row>
    <row r="797" customFormat="false" ht="15" hidden="false" customHeight="false" outlineLevel="0" collapsed="false">
      <c r="A797" s="9"/>
      <c r="B797" s="9"/>
      <c r="C797" s="9"/>
      <c r="D797" s="9"/>
      <c r="E797" s="9"/>
      <c r="F797" s="9" t="s">
        <v>2129</v>
      </c>
      <c r="G797" s="10" t="s">
        <v>2133</v>
      </c>
      <c r="H797" s="9" t="s">
        <v>380</v>
      </c>
      <c r="I797" s="9" t="n">
        <v>129</v>
      </c>
      <c r="J797" s="9" t="n">
        <v>1245</v>
      </c>
      <c r="K797" s="11" t="n">
        <v>1.564</v>
      </c>
      <c r="L797" s="11" t="n">
        <v>1</v>
      </c>
      <c r="M797" s="9" t="n">
        <v>1</v>
      </c>
      <c r="N797" s="11" t="n">
        <v>0.346</v>
      </c>
      <c r="O797" s="11" t="n">
        <v>0.852</v>
      </c>
      <c r="P797" s="12"/>
      <c r="Q797" s="12"/>
      <c r="R797" s="12"/>
      <c r="S797" s="12"/>
      <c r="T797" s="9" t="s">
        <v>2131</v>
      </c>
      <c r="U797" s="9" t="s">
        <v>2133</v>
      </c>
    </row>
    <row r="798" customFormat="false" ht="15" hidden="false" customHeight="false" outlineLevel="0" collapsed="false">
      <c r="A798" s="9"/>
      <c r="B798" s="9"/>
      <c r="C798" s="9"/>
      <c r="D798" s="9"/>
      <c r="E798" s="9"/>
      <c r="F798" s="9" t="s">
        <v>2129</v>
      </c>
      <c r="G798" s="10" t="s">
        <v>2134</v>
      </c>
      <c r="H798" s="9" t="s">
        <v>380</v>
      </c>
      <c r="I798" s="9" t="n">
        <v>4</v>
      </c>
      <c r="J798" s="9" t="n">
        <v>1</v>
      </c>
      <c r="K798" s="11" t="n">
        <v>0.001</v>
      </c>
      <c r="L798" s="11" t="n">
        <v>1</v>
      </c>
      <c r="M798" s="9" t="n">
        <v>1</v>
      </c>
      <c r="N798" s="11" t="n">
        <v>0.5</v>
      </c>
      <c r="O798" s="11" t="n">
        <v>0.825</v>
      </c>
      <c r="P798" s="12"/>
      <c r="Q798" s="12"/>
      <c r="R798" s="12"/>
      <c r="S798" s="12"/>
      <c r="T798" s="9" t="s">
        <v>2131</v>
      </c>
      <c r="U798" s="9" t="s">
        <v>2134</v>
      </c>
    </row>
    <row r="799" customFormat="false" ht="15" hidden="false" customHeight="false" outlineLevel="0" collapsed="false">
      <c r="A799" s="9"/>
      <c r="B799" s="9"/>
      <c r="C799" s="9"/>
      <c r="D799" s="9"/>
      <c r="E799" s="9"/>
      <c r="F799" s="9" t="s">
        <v>2129</v>
      </c>
      <c r="G799" s="10" t="s">
        <v>2135</v>
      </c>
      <c r="H799" s="9"/>
      <c r="I799" s="9" t="n">
        <v>3</v>
      </c>
      <c r="J799" s="9" t="n">
        <v>48</v>
      </c>
      <c r="K799" s="11" t="n">
        <v>0.06</v>
      </c>
      <c r="L799" s="11" t="n">
        <v>1</v>
      </c>
      <c r="M799" s="9" t="n">
        <v>0</v>
      </c>
      <c r="N799" s="11" t="n">
        <v>0.8</v>
      </c>
      <c r="O799" s="11" t="n">
        <v>0.62</v>
      </c>
      <c r="P799" s="12"/>
      <c r="Q799" s="12"/>
      <c r="R799" s="12"/>
      <c r="S799" s="12"/>
      <c r="T799" s="9" t="s">
        <v>2131</v>
      </c>
      <c r="U799" s="9" t="s">
        <v>2135</v>
      </c>
    </row>
    <row r="800" customFormat="false" ht="15" hidden="false" customHeight="false" outlineLevel="0" collapsed="false">
      <c r="A800" s="7" t="s">
        <v>1820</v>
      </c>
      <c r="B800" s="7" t="s">
        <v>2136</v>
      </c>
      <c r="C800" s="8" t="s">
        <v>2137</v>
      </c>
      <c r="D800" s="7" t="s">
        <v>2138</v>
      </c>
      <c r="E800" s="7" t="n">
        <v>501</v>
      </c>
      <c r="F800" s="9" t="s">
        <v>2136</v>
      </c>
      <c r="G800" s="10" t="s">
        <v>2139</v>
      </c>
      <c r="H800" s="9" t="s">
        <v>2140</v>
      </c>
      <c r="I800" s="9" t="n">
        <v>777</v>
      </c>
      <c r="J800" s="9" t="n">
        <v>28081</v>
      </c>
      <c r="K800" s="11" t="n">
        <v>56.05</v>
      </c>
      <c r="L800" s="11" t="n">
        <v>1</v>
      </c>
      <c r="M800" s="9" t="n">
        <v>1</v>
      </c>
      <c r="N800" s="11" t="n">
        <v>0.473</v>
      </c>
      <c r="O800" s="11" t="n">
        <v>0.821</v>
      </c>
      <c r="P800" s="12"/>
      <c r="Q800" s="12"/>
      <c r="R800" s="12"/>
      <c r="S800" s="12"/>
      <c r="T800" s="9" t="s">
        <v>2141</v>
      </c>
      <c r="U800" s="9" t="s">
        <v>2139</v>
      </c>
    </row>
    <row r="801" customFormat="false" ht="15" hidden="false" customHeight="false" outlineLevel="0" collapsed="false">
      <c r="A801" s="9"/>
      <c r="B801" s="9"/>
      <c r="C801" s="9"/>
      <c r="D801" s="9"/>
      <c r="E801" s="9"/>
      <c r="F801" s="9" t="s">
        <v>2142</v>
      </c>
      <c r="G801" s="10" t="s">
        <v>2143</v>
      </c>
      <c r="H801" s="9" t="s">
        <v>2144</v>
      </c>
      <c r="I801" s="9" t="n">
        <v>374</v>
      </c>
      <c r="J801" s="9" t="n">
        <v>10056</v>
      </c>
      <c r="K801" s="11" t="n">
        <v>20.072</v>
      </c>
      <c r="L801" s="11" t="n">
        <v>1</v>
      </c>
      <c r="M801" s="9" t="n">
        <v>1</v>
      </c>
      <c r="N801" s="11" t="n">
        <v>0.121</v>
      </c>
      <c r="O801" s="11" t="n">
        <v>0.768</v>
      </c>
      <c r="P801" s="12"/>
      <c r="Q801" s="12"/>
      <c r="R801" s="12"/>
      <c r="S801" s="12"/>
      <c r="T801" s="9" t="s">
        <v>2141</v>
      </c>
      <c r="U801" s="9" t="s">
        <v>2143</v>
      </c>
    </row>
    <row r="802" customFormat="false" ht="15" hidden="false" customHeight="false" outlineLevel="0" collapsed="false">
      <c r="A802" s="9"/>
      <c r="B802" s="9"/>
      <c r="C802" s="9"/>
      <c r="D802" s="9"/>
      <c r="E802" s="9"/>
      <c r="F802" s="9" t="s">
        <v>2136</v>
      </c>
      <c r="G802" s="10" t="s">
        <v>2145</v>
      </c>
      <c r="H802" s="9" t="s">
        <v>2146</v>
      </c>
      <c r="I802" s="9" t="n">
        <v>314</v>
      </c>
      <c r="J802" s="9" t="n">
        <v>7526</v>
      </c>
      <c r="K802" s="11" t="n">
        <v>15.022</v>
      </c>
      <c r="L802" s="11" t="n">
        <v>1</v>
      </c>
      <c r="M802" s="9" t="n">
        <v>1</v>
      </c>
      <c r="N802" s="11" t="n">
        <v>0</v>
      </c>
      <c r="O802" s="11" t="n">
        <v>0.75</v>
      </c>
      <c r="P802" s="12"/>
      <c r="Q802" s="12"/>
      <c r="R802" s="12"/>
      <c r="S802" s="12"/>
      <c r="T802" s="9" t="s">
        <v>2141</v>
      </c>
      <c r="U802" s="9" t="s">
        <v>2145</v>
      </c>
    </row>
    <row r="803" customFormat="false" ht="15" hidden="false" customHeight="false" outlineLevel="0" collapsed="false">
      <c r="A803" s="9"/>
      <c r="B803" s="9"/>
      <c r="C803" s="9"/>
      <c r="D803" s="9"/>
      <c r="E803" s="9"/>
      <c r="F803" s="9" t="s">
        <v>2136</v>
      </c>
      <c r="G803" s="10" t="s">
        <v>2147</v>
      </c>
      <c r="H803" s="9" t="s">
        <v>2148</v>
      </c>
      <c r="I803" s="9" t="n">
        <v>50</v>
      </c>
      <c r="J803" s="9" t="n">
        <v>1149</v>
      </c>
      <c r="K803" s="11" t="n">
        <v>2.293</v>
      </c>
      <c r="L803" s="11" t="n">
        <v>1</v>
      </c>
      <c r="M803" s="9" t="n">
        <v>0</v>
      </c>
      <c r="N803" s="11" t="n">
        <v>1</v>
      </c>
      <c r="O803" s="11" t="n">
        <v>0.65</v>
      </c>
      <c r="P803" s="12"/>
      <c r="Q803" s="12"/>
      <c r="R803" s="12"/>
      <c r="S803" s="12"/>
      <c r="T803" s="9" t="s">
        <v>2141</v>
      </c>
      <c r="U803" s="9" t="s">
        <v>2147</v>
      </c>
    </row>
    <row r="804" customFormat="false" ht="15" hidden="false" customHeight="false" outlineLevel="0" collapsed="false">
      <c r="A804" s="9"/>
      <c r="B804" s="9"/>
      <c r="C804" s="9"/>
      <c r="D804" s="9"/>
      <c r="E804" s="9"/>
      <c r="F804" s="9" t="s">
        <v>2149</v>
      </c>
      <c r="G804" s="10" t="s">
        <v>2150</v>
      </c>
      <c r="H804" s="9" t="s">
        <v>2151</v>
      </c>
      <c r="I804" s="9" t="n">
        <v>284</v>
      </c>
      <c r="J804" s="9" t="n">
        <v>6464</v>
      </c>
      <c r="K804" s="11" t="n">
        <v>12.902</v>
      </c>
      <c r="L804" s="11" t="n">
        <v>1</v>
      </c>
      <c r="M804" s="9" t="n">
        <v>0</v>
      </c>
      <c r="N804" s="11" t="n">
        <v>1</v>
      </c>
      <c r="O804" s="11" t="n">
        <v>0.6</v>
      </c>
      <c r="P804" s="12"/>
      <c r="Q804" s="12"/>
      <c r="R804" s="12"/>
      <c r="S804" s="12"/>
      <c r="T804" s="9" t="s">
        <v>2141</v>
      </c>
      <c r="U804" s="9" t="s">
        <v>2150</v>
      </c>
    </row>
    <row r="805" customFormat="false" ht="15" hidden="false" customHeight="false" outlineLevel="0" collapsed="false">
      <c r="A805" s="7" t="s">
        <v>1820</v>
      </c>
      <c r="B805" s="7" t="s">
        <v>2152</v>
      </c>
      <c r="C805" s="8" t="s">
        <v>1238</v>
      </c>
      <c r="D805" s="7" t="s">
        <v>2153</v>
      </c>
      <c r="E805" s="7" t="n">
        <v>666</v>
      </c>
      <c r="F805" s="9" t="s">
        <v>2152</v>
      </c>
      <c r="G805" s="10" t="s">
        <v>2154</v>
      </c>
      <c r="H805" s="9" t="s">
        <v>2155</v>
      </c>
      <c r="I805" s="9" t="n">
        <v>70</v>
      </c>
      <c r="J805" s="9" t="n">
        <v>1176</v>
      </c>
      <c r="K805" s="11" t="n">
        <v>1.87</v>
      </c>
      <c r="L805" s="11" t="n">
        <v>1</v>
      </c>
      <c r="M805" s="9" t="n">
        <v>1</v>
      </c>
      <c r="N805" s="11" t="n">
        <v>1</v>
      </c>
      <c r="O805" s="11" t="n">
        <v>0.95</v>
      </c>
      <c r="P805" s="12"/>
      <c r="Q805" s="12"/>
      <c r="R805" s="12"/>
      <c r="S805" s="12"/>
      <c r="T805" s="9" t="s">
        <v>2156</v>
      </c>
      <c r="U805" s="9" t="s">
        <v>2154</v>
      </c>
    </row>
    <row r="806" customFormat="false" ht="15" hidden="false" customHeight="false" outlineLevel="0" collapsed="false">
      <c r="A806" s="9"/>
      <c r="B806" s="9"/>
      <c r="C806" s="9"/>
      <c r="D806" s="9"/>
      <c r="E806" s="9"/>
      <c r="F806" s="9" t="s">
        <v>2157</v>
      </c>
      <c r="G806" s="10" t="s">
        <v>2158</v>
      </c>
      <c r="H806" s="9" t="s">
        <v>2159</v>
      </c>
      <c r="I806" s="9" t="n">
        <v>20</v>
      </c>
      <c r="J806" s="9" t="n">
        <v>180</v>
      </c>
      <c r="K806" s="11" t="n">
        <v>0.286</v>
      </c>
      <c r="L806" s="11" t="n">
        <v>1</v>
      </c>
      <c r="M806" s="9" t="n">
        <v>0.5</v>
      </c>
      <c r="N806" s="11" t="n">
        <v>0.889</v>
      </c>
      <c r="O806" s="11" t="n">
        <v>0.833</v>
      </c>
      <c r="P806" s="12"/>
      <c r="Q806" s="12"/>
      <c r="R806" s="12"/>
      <c r="S806" s="12"/>
      <c r="T806" s="9" t="s">
        <v>2156</v>
      </c>
      <c r="U806" s="9" t="s">
        <v>2158</v>
      </c>
    </row>
    <row r="807" customFormat="false" ht="15" hidden="false" customHeight="false" outlineLevel="0" collapsed="false">
      <c r="A807" s="9"/>
      <c r="B807" s="9"/>
      <c r="C807" s="9"/>
      <c r="D807" s="9"/>
      <c r="E807" s="9"/>
      <c r="F807" s="9" t="s">
        <v>2160</v>
      </c>
      <c r="G807" s="10" t="s">
        <v>2161</v>
      </c>
      <c r="H807" s="9" t="s">
        <v>1238</v>
      </c>
      <c r="I807" s="9" t="n">
        <v>41</v>
      </c>
      <c r="J807" s="9" t="n">
        <v>2446</v>
      </c>
      <c r="K807" s="11" t="n">
        <v>3.889</v>
      </c>
      <c r="L807" s="11" t="n">
        <v>1</v>
      </c>
      <c r="M807" s="9" t="n">
        <v>1</v>
      </c>
      <c r="N807" s="11" t="n">
        <v>0.235</v>
      </c>
      <c r="O807" s="11" t="n">
        <v>0.785</v>
      </c>
      <c r="P807" s="12"/>
      <c r="Q807" s="12"/>
      <c r="R807" s="12"/>
      <c r="S807" s="12"/>
      <c r="T807" s="9" t="s">
        <v>2156</v>
      </c>
      <c r="U807" s="9" t="s">
        <v>2161</v>
      </c>
    </row>
    <row r="808" customFormat="false" ht="15" hidden="false" customHeight="false" outlineLevel="0" collapsed="false">
      <c r="A808" s="9"/>
      <c r="B808" s="9"/>
      <c r="C808" s="9"/>
      <c r="D808" s="9"/>
      <c r="E808" s="9"/>
      <c r="F808" s="9" t="s">
        <v>2152</v>
      </c>
      <c r="G808" s="10" t="s">
        <v>2162</v>
      </c>
      <c r="H808" s="9" t="s">
        <v>2163</v>
      </c>
      <c r="I808" s="9" t="n">
        <v>174</v>
      </c>
      <c r="J808" s="9" t="n">
        <v>4316</v>
      </c>
      <c r="K808" s="11" t="n">
        <v>6.862</v>
      </c>
      <c r="L808" s="11" t="n">
        <v>1</v>
      </c>
      <c r="M808" s="9" t="n">
        <v>1</v>
      </c>
      <c r="N808" s="11" t="n">
        <v>0.114</v>
      </c>
      <c r="O808" s="11" t="n">
        <v>0.767</v>
      </c>
      <c r="P808" s="12"/>
      <c r="Q808" s="12"/>
      <c r="R808" s="12"/>
      <c r="S808" s="12"/>
      <c r="T808" s="9" t="s">
        <v>2156</v>
      </c>
      <c r="U808" s="9" t="s">
        <v>2162</v>
      </c>
    </row>
    <row r="809" customFormat="false" ht="15" hidden="false" customHeight="false" outlineLevel="0" collapsed="false">
      <c r="A809" s="9"/>
      <c r="B809" s="9"/>
      <c r="C809" s="9"/>
      <c r="D809" s="9"/>
      <c r="E809" s="9"/>
      <c r="F809" s="9" t="s">
        <v>2152</v>
      </c>
      <c r="G809" s="10" t="s">
        <v>2164</v>
      </c>
      <c r="H809" s="9"/>
      <c r="I809" s="9" t="n">
        <v>4</v>
      </c>
      <c r="J809" s="9" t="n">
        <v>55</v>
      </c>
      <c r="K809" s="11" t="n">
        <v>0.087</v>
      </c>
      <c r="L809" s="11" t="n">
        <v>1</v>
      </c>
      <c r="M809" s="9" t="n">
        <v>0.5</v>
      </c>
      <c r="N809" s="11" t="n">
        <v>0.75</v>
      </c>
      <c r="O809" s="11" t="n">
        <v>0.762</v>
      </c>
      <c r="P809" s="12"/>
      <c r="Q809" s="12"/>
      <c r="R809" s="12"/>
      <c r="S809" s="12"/>
      <c r="T809" s="9" t="s">
        <v>2156</v>
      </c>
      <c r="U809" s="9" t="s">
        <v>2164</v>
      </c>
    </row>
    <row r="810" customFormat="false" ht="15" hidden="false" customHeight="false" outlineLevel="0" collapsed="false">
      <c r="A810" s="7" t="s">
        <v>1820</v>
      </c>
      <c r="B810" s="7" t="s">
        <v>2165</v>
      </c>
      <c r="C810" s="8" t="s">
        <v>2166</v>
      </c>
      <c r="D810" s="7" t="s">
        <v>2167</v>
      </c>
      <c r="E810" s="7" t="n">
        <v>860</v>
      </c>
      <c r="F810" s="9" t="s">
        <v>2168</v>
      </c>
      <c r="G810" s="10" t="s">
        <v>2169</v>
      </c>
      <c r="H810" s="9" t="s">
        <v>2170</v>
      </c>
      <c r="I810" s="9" t="n">
        <v>248</v>
      </c>
      <c r="J810" s="9" t="n">
        <v>8304</v>
      </c>
      <c r="K810" s="11" t="n">
        <v>9.656</v>
      </c>
      <c r="L810" s="11" t="n">
        <v>1</v>
      </c>
      <c r="M810" s="9" t="n">
        <v>1</v>
      </c>
      <c r="N810" s="11" t="n">
        <v>0.353</v>
      </c>
      <c r="O810" s="11" t="n">
        <v>0.803</v>
      </c>
      <c r="P810" s="12"/>
      <c r="Q810" s="12"/>
      <c r="R810" s="12"/>
      <c r="S810" s="12"/>
      <c r="T810" s="9" t="s">
        <v>2171</v>
      </c>
      <c r="U810" s="9" t="s">
        <v>2169</v>
      </c>
    </row>
    <row r="811" customFormat="false" ht="15" hidden="false" customHeight="false" outlineLevel="0" collapsed="false">
      <c r="A811" s="9"/>
      <c r="B811" s="9"/>
      <c r="C811" s="9"/>
      <c r="D811" s="9"/>
      <c r="E811" s="9"/>
      <c r="F811" s="9" t="s">
        <v>2165</v>
      </c>
      <c r="G811" s="10" t="s">
        <v>2172</v>
      </c>
      <c r="H811" s="9"/>
      <c r="I811" s="9" t="n">
        <v>337</v>
      </c>
      <c r="J811" s="9" t="n">
        <v>10905</v>
      </c>
      <c r="K811" s="11" t="n">
        <v>12.68</v>
      </c>
      <c r="L811" s="11" t="n">
        <v>1</v>
      </c>
      <c r="M811" s="9" t="n">
        <v>1</v>
      </c>
      <c r="N811" s="11" t="n">
        <v>0</v>
      </c>
      <c r="O811" s="11" t="n">
        <v>0.75</v>
      </c>
      <c r="P811" s="12"/>
      <c r="Q811" s="12"/>
      <c r="R811" s="12"/>
      <c r="S811" s="12"/>
      <c r="T811" s="9" t="s">
        <v>2171</v>
      </c>
      <c r="U811" s="9" t="s">
        <v>2172</v>
      </c>
    </row>
    <row r="812" customFormat="false" ht="15" hidden="false" customHeight="false" outlineLevel="0" collapsed="false">
      <c r="A812" s="9"/>
      <c r="B812" s="9"/>
      <c r="C812" s="9"/>
      <c r="D812" s="9"/>
      <c r="E812" s="9"/>
      <c r="F812" s="9" t="s">
        <v>2173</v>
      </c>
      <c r="G812" s="10" t="s">
        <v>2174</v>
      </c>
      <c r="H812" s="9"/>
      <c r="I812" s="9" t="n">
        <v>15</v>
      </c>
      <c r="J812" s="9" t="n">
        <v>871</v>
      </c>
      <c r="K812" s="11" t="n">
        <v>1.013</v>
      </c>
      <c r="L812" s="11" t="n">
        <v>1</v>
      </c>
      <c r="M812" s="9" t="n">
        <v>0</v>
      </c>
      <c r="N812" s="11" t="n">
        <v>0.833</v>
      </c>
      <c r="O812" s="11" t="n">
        <v>0.675</v>
      </c>
      <c r="P812" s="12"/>
      <c r="Q812" s="12"/>
      <c r="R812" s="12"/>
      <c r="S812" s="12"/>
      <c r="T812" s="9" t="s">
        <v>2171</v>
      </c>
      <c r="U812" s="9" t="s">
        <v>2174</v>
      </c>
    </row>
    <row r="813" customFormat="false" ht="15" hidden="false" customHeight="false" outlineLevel="0" collapsed="false">
      <c r="A813" s="9"/>
      <c r="B813" s="9"/>
      <c r="C813" s="9"/>
      <c r="D813" s="9"/>
      <c r="E813" s="9"/>
      <c r="F813" s="9" t="s">
        <v>2175</v>
      </c>
      <c r="G813" s="10" t="s">
        <v>2176</v>
      </c>
      <c r="H813" s="9" t="s">
        <v>1103</v>
      </c>
      <c r="I813" s="9" t="n">
        <v>216</v>
      </c>
      <c r="J813" s="9" t="n">
        <v>5853</v>
      </c>
      <c r="K813" s="11" t="n">
        <v>6.806</v>
      </c>
      <c r="L813" s="11" t="n">
        <v>1</v>
      </c>
      <c r="M813" s="9" t="n">
        <v>0.5</v>
      </c>
      <c r="N813" s="11" t="n">
        <v>0.476</v>
      </c>
      <c r="O813" s="11" t="n">
        <v>0.671</v>
      </c>
      <c r="P813" s="12"/>
      <c r="Q813" s="12"/>
      <c r="R813" s="12"/>
      <c r="S813" s="12"/>
      <c r="T813" s="9" t="s">
        <v>2171</v>
      </c>
      <c r="U813" s="9" t="s">
        <v>2176</v>
      </c>
    </row>
    <row r="814" customFormat="false" ht="15" hidden="false" customHeight="false" outlineLevel="0" collapsed="false">
      <c r="A814" s="9"/>
      <c r="B814" s="9"/>
      <c r="C814" s="9"/>
      <c r="D814" s="9"/>
      <c r="E814" s="9"/>
      <c r="F814" s="9" t="s">
        <v>2175</v>
      </c>
      <c r="G814" s="10" t="s">
        <v>2177</v>
      </c>
      <c r="H814" s="9"/>
      <c r="I814" s="9" t="n">
        <v>415</v>
      </c>
      <c r="J814" s="9" t="n">
        <v>6851</v>
      </c>
      <c r="K814" s="11" t="n">
        <v>7.966</v>
      </c>
      <c r="L814" s="11" t="n">
        <v>1</v>
      </c>
      <c r="M814" s="9" t="n">
        <v>0.5</v>
      </c>
      <c r="N814" s="11" t="n">
        <v>0.429</v>
      </c>
      <c r="O814" s="11" t="n">
        <v>0.664</v>
      </c>
      <c r="P814" s="12"/>
      <c r="Q814" s="12"/>
      <c r="R814" s="12"/>
      <c r="S814" s="12"/>
      <c r="T814" s="9" t="s">
        <v>2171</v>
      </c>
      <c r="U814" s="9" t="s">
        <v>2177</v>
      </c>
    </row>
    <row r="815" customFormat="false" ht="15" hidden="false" customHeight="false" outlineLevel="0" collapsed="false">
      <c r="A815" s="7" t="s">
        <v>1820</v>
      </c>
      <c r="B815" s="7" t="s">
        <v>2178</v>
      </c>
      <c r="C815" s="8" t="s">
        <v>2074</v>
      </c>
      <c r="D815" s="7" t="s">
        <v>2179</v>
      </c>
      <c r="E815" s="7" t="n">
        <v>667</v>
      </c>
      <c r="F815" s="9" t="s">
        <v>2178</v>
      </c>
      <c r="G815" s="10" t="s">
        <v>2180</v>
      </c>
      <c r="H815" s="9" t="s">
        <v>2181</v>
      </c>
      <c r="I815" s="9" t="n">
        <v>1</v>
      </c>
      <c r="J815" s="9" t="n">
        <v>0</v>
      </c>
      <c r="K815" s="11" t="n">
        <v>0</v>
      </c>
      <c r="L815" s="11" t="n">
        <v>1</v>
      </c>
      <c r="M815" s="9" t="n">
        <v>1</v>
      </c>
      <c r="N815" s="11" t="n">
        <v>1</v>
      </c>
      <c r="O815" s="11" t="n">
        <v>0.9</v>
      </c>
      <c r="P815" s="12"/>
      <c r="Q815" s="12"/>
      <c r="R815" s="12"/>
      <c r="S815" s="12"/>
      <c r="T815" s="9" t="s">
        <v>2182</v>
      </c>
      <c r="U815" s="9" t="s">
        <v>2180</v>
      </c>
    </row>
    <row r="816" customFormat="false" ht="15" hidden="false" customHeight="false" outlineLevel="0" collapsed="false">
      <c r="A816" s="9"/>
      <c r="B816" s="9"/>
      <c r="C816" s="9"/>
      <c r="D816" s="9"/>
      <c r="E816" s="9"/>
      <c r="F816" s="9" t="s">
        <v>2178</v>
      </c>
      <c r="G816" s="10" t="s">
        <v>2183</v>
      </c>
      <c r="H816" s="9" t="s">
        <v>2184</v>
      </c>
      <c r="I816" s="9" t="n">
        <v>52</v>
      </c>
      <c r="J816" s="9" t="n">
        <v>1219</v>
      </c>
      <c r="K816" s="11" t="n">
        <v>1.828</v>
      </c>
      <c r="L816" s="11" t="n">
        <v>1</v>
      </c>
      <c r="M816" s="9" t="n">
        <v>1</v>
      </c>
      <c r="N816" s="11" t="n">
        <v>0.348</v>
      </c>
      <c r="O816" s="11" t="n">
        <v>0.852</v>
      </c>
      <c r="P816" s="12"/>
      <c r="Q816" s="12"/>
      <c r="R816" s="12"/>
      <c r="S816" s="12"/>
      <c r="T816" s="9" t="s">
        <v>2182</v>
      </c>
      <c r="U816" s="9" t="s">
        <v>2183</v>
      </c>
    </row>
    <row r="817" customFormat="false" ht="15" hidden="false" customHeight="false" outlineLevel="0" collapsed="false">
      <c r="A817" s="9"/>
      <c r="B817" s="9"/>
      <c r="C817" s="9"/>
      <c r="D817" s="9"/>
      <c r="E817" s="9"/>
      <c r="F817" s="9" t="s">
        <v>2178</v>
      </c>
      <c r="G817" s="10" t="s">
        <v>2185</v>
      </c>
      <c r="H817" s="9" t="s">
        <v>2181</v>
      </c>
      <c r="I817" s="9" t="n">
        <v>1</v>
      </c>
      <c r="J817" s="9" t="n">
        <v>0</v>
      </c>
      <c r="K817" s="11" t="n">
        <v>0</v>
      </c>
      <c r="L817" s="11" t="n">
        <v>1</v>
      </c>
      <c r="M817" s="9" t="n">
        <v>1</v>
      </c>
      <c r="N817" s="11" t="n">
        <v>0.5</v>
      </c>
      <c r="O817" s="11" t="n">
        <v>0.825</v>
      </c>
      <c r="P817" s="12"/>
      <c r="Q817" s="12"/>
      <c r="R817" s="12"/>
      <c r="S817" s="12"/>
      <c r="T817" s="9" t="s">
        <v>2182</v>
      </c>
      <c r="U817" s="9" t="s">
        <v>2185</v>
      </c>
    </row>
    <row r="818" customFormat="false" ht="15" hidden="false" customHeight="false" outlineLevel="0" collapsed="false">
      <c r="A818" s="9"/>
      <c r="B818" s="9"/>
      <c r="C818" s="9"/>
      <c r="D818" s="9"/>
      <c r="E818" s="9"/>
      <c r="F818" s="9" t="s">
        <v>2178</v>
      </c>
      <c r="G818" s="10" t="s">
        <v>2186</v>
      </c>
      <c r="H818" s="9" t="s">
        <v>1000</v>
      </c>
      <c r="I818" s="9" t="n">
        <v>10</v>
      </c>
      <c r="J818" s="9" t="n">
        <v>4</v>
      </c>
      <c r="K818" s="11" t="n">
        <v>0.006</v>
      </c>
      <c r="L818" s="11" t="n">
        <v>1</v>
      </c>
      <c r="M818" s="9" t="n">
        <v>1</v>
      </c>
      <c r="N818" s="11" t="n">
        <v>0.1</v>
      </c>
      <c r="O818" s="11" t="n">
        <v>0.765</v>
      </c>
      <c r="P818" s="12"/>
      <c r="Q818" s="12"/>
      <c r="R818" s="12"/>
      <c r="S818" s="12"/>
      <c r="T818" s="9" t="s">
        <v>2182</v>
      </c>
      <c r="U818" s="9" t="s">
        <v>2186</v>
      </c>
    </row>
    <row r="819" customFormat="false" ht="15" hidden="false" customHeight="false" outlineLevel="0" collapsed="false">
      <c r="A819" s="9"/>
      <c r="B819" s="9"/>
      <c r="C819" s="9"/>
      <c r="D819" s="9"/>
      <c r="E819" s="9"/>
      <c r="F819" s="9" t="s">
        <v>2178</v>
      </c>
      <c r="G819" s="10" t="s">
        <v>2187</v>
      </c>
      <c r="H819" s="9" t="s">
        <v>1000</v>
      </c>
      <c r="I819" s="9" t="n">
        <v>1</v>
      </c>
      <c r="J819" s="9" t="n">
        <v>0</v>
      </c>
      <c r="K819" s="11" t="n">
        <v>0</v>
      </c>
      <c r="L819" s="11" t="n">
        <v>1</v>
      </c>
      <c r="M819" s="9" t="n">
        <v>0</v>
      </c>
      <c r="N819" s="11" t="n">
        <v>1</v>
      </c>
      <c r="O819" s="11" t="n">
        <v>0.6</v>
      </c>
      <c r="P819" s="12"/>
      <c r="Q819" s="12"/>
      <c r="R819" s="12"/>
      <c r="S819" s="12"/>
      <c r="T819" s="9" t="s">
        <v>2182</v>
      </c>
      <c r="U819" s="9" t="s">
        <v>2187</v>
      </c>
    </row>
    <row r="820" customFormat="false" ht="15" hidden="false" customHeight="false" outlineLevel="0" collapsed="false">
      <c r="A820" s="7" t="s">
        <v>1820</v>
      </c>
      <c r="B820" s="7" t="s">
        <v>2188</v>
      </c>
      <c r="C820" s="8" t="s">
        <v>2137</v>
      </c>
      <c r="D820" s="7" t="s">
        <v>2189</v>
      </c>
      <c r="E820" s="7" t="n">
        <v>1457</v>
      </c>
      <c r="F820" s="9" t="s">
        <v>2188</v>
      </c>
      <c r="G820" s="10" t="s">
        <v>2190</v>
      </c>
      <c r="H820" s="9" t="s">
        <v>1217</v>
      </c>
      <c r="I820" s="9" t="n">
        <v>486</v>
      </c>
      <c r="J820" s="9" t="n">
        <v>8379</v>
      </c>
      <c r="K820" s="11" t="n">
        <v>6.134</v>
      </c>
      <c r="L820" s="11" t="n">
        <v>1</v>
      </c>
      <c r="M820" s="9" t="n">
        <v>1</v>
      </c>
      <c r="N820" s="11" t="n">
        <v>0.486</v>
      </c>
      <c r="O820" s="11" t="n">
        <v>0.823</v>
      </c>
      <c r="P820" s="12"/>
      <c r="Q820" s="12"/>
      <c r="R820" s="12"/>
      <c r="S820" s="12"/>
      <c r="T820" s="9" t="s">
        <v>2191</v>
      </c>
      <c r="U820" s="9" t="s">
        <v>2190</v>
      </c>
    </row>
    <row r="821" customFormat="false" ht="15" hidden="false" customHeight="false" outlineLevel="0" collapsed="false">
      <c r="A821" s="9"/>
      <c r="B821" s="9"/>
      <c r="C821" s="9"/>
      <c r="D821" s="9"/>
      <c r="E821" s="9"/>
      <c r="F821" s="9" t="s">
        <v>2188</v>
      </c>
      <c r="G821" s="10" t="s">
        <v>2192</v>
      </c>
      <c r="H821" s="9" t="s">
        <v>2193</v>
      </c>
      <c r="I821" s="9" t="n">
        <v>248</v>
      </c>
      <c r="J821" s="9" t="n">
        <v>3519</v>
      </c>
      <c r="K821" s="11" t="n">
        <v>2.576</v>
      </c>
      <c r="L821" s="11" t="n">
        <v>1</v>
      </c>
      <c r="M821" s="9" t="n">
        <v>1</v>
      </c>
      <c r="N821" s="11" t="n">
        <v>0</v>
      </c>
      <c r="O821" s="11" t="n">
        <v>0.8</v>
      </c>
      <c r="P821" s="12"/>
      <c r="Q821" s="12"/>
      <c r="R821" s="12"/>
      <c r="S821" s="12"/>
      <c r="T821" s="9" t="s">
        <v>2191</v>
      </c>
      <c r="U821" s="9" t="s">
        <v>2192</v>
      </c>
    </row>
    <row r="822" customFormat="false" ht="15" hidden="false" customHeight="false" outlineLevel="0" collapsed="false">
      <c r="A822" s="9"/>
      <c r="B822" s="9"/>
      <c r="C822" s="9"/>
      <c r="D822" s="9"/>
      <c r="E822" s="9"/>
      <c r="F822" s="9" t="s">
        <v>2188</v>
      </c>
      <c r="G822" s="10" t="s">
        <v>2194</v>
      </c>
      <c r="H822" s="9" t="s">
        <v>2195</v>
      </c>
      <c r="I822" s="9" t="n">
        <v>905</v>
      </c>
      <c r="J822" s="9" t="n">
        <v>18769</v>
      </c>
      <c r="K822" s="11" t="n">
        <v>13.74</v>
      </c>
      <c r="L822" s="11" t="n">
        <v>1</v>
      </c>
      <c r="M822" s="9" t="n">
        <v>1</v>
      </c>
      <c r="N822" s="11" t="n">
        <v>0</v>
      </c>
      <c r="O822" s="11" t="n">
        <v>0.75</v>
      </c>
      <c r="P822" s="12"/>
      <c r="Q822" s="12"/>
      <c r="R822" s="12"/>
      <c r="S822" s="12"/>
      <c r="T822" s="9" t="s">
        <v>2191</v>
      </c>
      <c r="U822" s="9" t="s">
        <v>2194</v>
      </c>
    </row>
    <row r="823" customFormat="false" ht="15" hidden="false" customHeight="false" outlineLevel="0" collapsed="false">
      <c r="A823" s="9"/>
      <c r="B823" s="9"/>
      <c r="C823" s="9"/>
      <c r="D823" s="9"/>
      <c r="E823" s="9"/>
      <c r="F823" s="9" t="s">
        <v>2188</v>
      </c>
      <c r="G823" s="10" t="s">
        <v>2196</v>
      </c>
      <c r="H823" s="9" t="s">
        <v>2197</v>
      </c>
      <c r="I823" s="9" t="n">
        <v>234</v>
      </c>
      <c r="J823" s="9" t="n">
        <v>3875</v>
      </c>
      <c r="K823" s="11" t="n">
        <v>2.837</v>
      </c>
      <c r="L823" s="11" t="n">
        <v>1</v>
      </c>
      <c r="M823" s="9" t="n">
        <v>0</v>
      </c>
      <c r="N823" s="11" t="n">
        <v>0.906</v>
      </c>
      <c r="O823" s="11" t="n">
        <v>0.636</v>
      </c>
      <c r="P823" s="12"/>
      <c r="Q823" s="12"/>
      <c r="R823" s="12"/>
      <c r="S823" s="12"/>
      <c r="T823" s="9" t="s">
        <v>2191</v>
      </c>
      <c r="U823" s="9" t="s">
        <v>2196</v>
      </c>
    </row>
    <row r="824" customFormat="false" ht="15" hidden="false" customHeight="false" outlineLevel="0" collapsed="false">
      <c r="A824" s="9"/>
      <c r="B824" s="9"/>
      <c r="C824" s="9"/>
      <c r="D824" s="9"/>
      <c r="E824" s="9"/>
      <c r="F824" s="9" t="s">
        <v>2188</v>
      </c>
      <c r="G824" s="10" t="s">
        <v>2198</v>
      </c>
      <c r="H824" s="9" t="s">
        <v>2199</v>
      </c>
      <c r="I824" s="9" t="n">
        <v>188</v>
      </c>
      <c r="J824" s="9" t="n">
        <v>4238</v>
      </c>
      <c r="K824" s="11" t="n">
        <v>3.102</v>
      </c>
      <c r="L824" s="11" t="n">
        <v>1</v>
      </c>
      <c r="M824" s="9" t="n">
        <v>0</v>
      </c>
      <c r="N824" s="11" t="n">
        <v>1</v>
      </c>
      <c r="O824" s="11" t="n">
        <v>0.6</v>
      </c>
      <c r="P824" s="12"/>
      <c r="Q824" s="12"/>
      <c r="R824" s="12"/>
      <c r="S824" s="12"/>
      <c r="T824" s="9" t="s">
        <v>2191</v>
      </c>
      <c r="U824" s="9" t="s">
        <v>2198</v>
      </c>
    </row>
    <row r="825" customFormat="false" ht="15" hidden="false" customHeight="false" outlineLevel="0" collapsed="false">
      <c r="A825" s="7" t="s">
        <v>1820</v>
      </c>
      <c r="B825" s="7" t="s">
        <v>2200</v>
      </c>
      <c r="C825" s="8" t="s">
        <v>380</v>
      </c>
      <c r="D825" s="7" t="s">
        <v>2201</v>
      </c>
      <c r="E825" s="7" t="n">
        <v>2173</v>
      </c>
      <c r="F825" s="9" t="s">
        <v>2200</v>
      </c>
      <c r="G825" s="10" t="s">
        <v>2202</v>
      </c>
      <c r="H825" s="9" t="s">
        <v>2203</v>
      </c>
      <c r="I825" s="9" t="n">
        <v>821</v>
      </c>
      <c r="J825" s="9" t="n">
        <v>17680</v>
      </c>
      <c r="K825" s="11" t="n">
        <v>9.053</v>
      </c>
      <c r="L825" s="11" t="n">
        <v>1</v>
      </c>
      <c r="M825" s="9" t="n">
        <v>1</v>
      </c>
      <c r="N825" s="11" t="n">
        <v>0.294</v>
      </c>
      <c r="O825" s="11" t="n">
        <v>0.794</v>
      </c>
      <c r="P825" s="12"/>
      <c r="Q825" s="12"/>
      <c r="R825" s="12"/>
      <c r="S825" s="12"/>
      <c r="T825" s="9" t="s">
        <v>2204</v>
      </c>
      <c r="U825" s="9" t="s">
        <v>2202</v>
      </c>
    </row>
    <row r="826" customFormat="false" ht="15" hidden="false" customHeight="false" outlineLevel="0" collapsed="false">
      <c r="A826" s="9"/>
      <c r="B826" s="9"/>
      <c r="C826" s="9"/>
      <c r="D826" s="9"/>
      <c r="E826" s="9"/>
      <c r="F826" s="9" t="s">
        <v>2200</v>
      </c>
      <c r="G826" s="10" t="s">
        <v>2205</v>
      </c>
      <c r="H826" s="9" t="s">
        <v>2206</v>
      </c>
      <c r="I826" s="9" t="n">
        <v>1399</v>
      </c>
      <c r="J826" s="9" t="n">
        <v>65538</v>
      </c>
      <c r="K826" s="11" t="n">
        <v>33.558</v>
      </c>
      <c r="L826" s="11" t="n">
        <v>1</v>
      </c>
      <c r="M826" s="9" t="n">
        <v>1</v>
      </c>
      <c r="N826" s="11" t="n">
        <v>0.233</v>
      </c>
      <c r="O826" s="11" t="n">
        <v>0.785</v>
      </c>
      <c r="P826" s="12"/>
      <c r="Q826" s="12"/>
      <c r="R826" s="12"/>
      <c r="S826" s="12"/>
      <c r="T826" s="9" t="s">
        <v>2204</v>
      </c>
      <c r="U826" s="9" t="s">
        <v>2205</v>
      </c>
    </row>
    <row r="827" customFormat="false" ht="15" hidden="false" customHeight="false" outlineLevel="0" collapsed="false">
      <c r="A827" s="9"/>
      <c r="B827" s="9"/>
      <c r="C827" s="9"/>
      <c r="D827" s="9"/>
      <c r="E827" s="9"/>
      <c r="F827" s="9" t="s">
        <v>2200</v>
      </c>
      <c r="G827" s="10" t="s">
        <v>2207</v>
      </c>
      <c r="H827" s="9" t="s">
        <v>314</v>
      </c>
      <c r="I827" s="9" t="n">
        <v>563</v>
      </c>
      <c r="J827" s="9" t="n">
        <v>20972</v>
      </c>
      <c r="K827" s="11" t="n">
        <v>10.738</v>
      </c>
      <c r="L827" s="11" t="n">
        <v>1</v>
      </c>
      <c r="M827" s="9" t="n">
        <v>1</v>
      </c>
      <c r="N827" s="11" t="n">
        <v>0</v>
      </c>
      <c r="O827" s="11" t="n">
        <v>0.75</v>
      </c>
      <c r="P827" s="12"/>
      <c r="Q827" s="12"/>
      <c r="R827" s="12"/>
      <c r="S827" s="12"/>
      <c r="T827" s="9" t="s">
        <v>2204</v>
      </c>
      <c r="U827" s="9" t="s">
        <v>2207</v>
      </c>
    </row>
    <row r="828" customFormat="false" ht="15" hidden="false" customHeight="false" outlineLevel="0" collapsed="false">
      <c r="A828" s="9"/>
      <c r="B828" s="9"/>
      <c r="C828" s="9"/>
      <c r="D828" s="9"/>
      <c r="E828" s="9"/>
      <c r="F828" s="9" t="s">
        <v>2200</v>
      </c>
      <c r="G828" s="10" t="s">
        <v>2208</v>
      </c>
      <c r="H828" s="9" t="s">
        <v>2209</v>
      </c>
      <c r="I828" s="9" t="n">
        <v>599</v>
      </c>
      <c r="J828" s="9" t="n">
        <v>16030</v>
      </c>
      <c r="K828" s="11" t="n">
        <v>8.208</v>
      </c>
      <c r="L828" s="11" t="n">
        <v>1</v>
      </c>
      <c r="M828" s="9" t="n">
        <v>1</v>
      </c>
      <c r="N828" s="11" t="n">
        <v>0</v>
      </c>
      <c r="O828" s="11" t="n">
        <v>0.75</v>
      </c>
      <c r="P828" s="12"/>
      <c r="Q828" s="12"/>
      <c r="R828" s="12"/>
      <c r="S828" s="12"/>
      <c r="T828" s="9" t="s">
        <v>2204</v>
      </c>
      <c r="U828" s="9" t="s">
        <v>2208</v>
      </c>
    </row>
    <row r="829" customFormat="false" ht="15" hidden="false" customHeight="false" outlineLevel="0" collapsed="false">
      <c r="A829" s="9"/>
      <c r="B829" s="9"/>
      <c r="C829" s="9"/>
      <c r="D829" s="9"/>
      <c r="E829" s="9"/>
      <c r="F829" s="9" t="s">
        <v>2200</v>
      </c>
      <c r="G829" s="10" t="s">
        <v>2210</v>
      </c>
      <c r="H829" s="9" t="s">
        <v>2211</v>
      </c>
      <c r="I829" s="9" t="n">
        <v>882</v>
      </c>
      <c r="J829" s="9" t="n">
        <v>15980</v>
      </c>
      <c r="K829" s="11" t="n">
        <v>8.182</v>
      </c>
      <c r="L829" s="11" t="n">
        <v>1</v>
      </c>
      <c r="M829" s="9" t="n">
        <v>1</v>
      </c>
      <c r="N829" s="11" t="n">
        <v>0</v>
      </c>
      <c r="O829" s="11" t="n">
        <v>0.75</v>
      </c>
      <c r="P829" s="12"/>
      <c r="Q829" s="12"/>
      <c r="R829" s="12"/>
      <c r="S829" s="12"/>
      <c r="T829" s="9" t="s">
        <v>2204</v>
      </c>
      <c r="U829" s="9" t="s">
        <v>2210</v>
      </c>
    </row>
    <row r="830" customFormat="false" ht="15" hidden="false" customHeight="false" outlineLevel="0" collapsed="false">
      <c r="A830" s="7" t="s">
        <v>1820</v>
      </c>
      <c r="B830" s="7" t="s">
        <v>2212</v>
      </c>
      <c r="C830" s="8" t="s">
        <v>309</v>
      </c>
      <c r="D830" s="7" t="s">
        <v>2213</v>
      </c>
      <c r="E830" s="7" t="n">
        <v>6</v>
      </c>
      <c r="F830" s="9" t="s">
        <v>2214</v>
      </c>
      <c r="G830" s="10" t="s">
        <v>2215</v>
      </c>
      <c r="H830" s="9" t="s">
        <v>309</v>
      </c>
      <c r="I830" s="9" t="n">
        <v>38</v>
      </c>
      <c r="J830" s="9" t="n">
        <v>135</v>
      </c>
      <c r="K830" s="11" t="n">
        <v>33.75</v>
      </c>
      <c r="L830" s="11" t="n">
        <v>1</v>
      </c>
      <c r="M830" s="9" t="n">
        <v>1</v>
      </c>
      <c r="N830" s="11" t="n">
        <v>1</v>
      </c>
      <c r="O830" s="11" t="n">
        <v>0.9</v>
      </c>
      <c r="P830" s="12"/>
      <c r="Q830" s="12"/>
      <c r="R830" s="12"/>
      <c r="S830" s="12"/>
      <c r="T830" s="9" t="s">
        <v>2216</v>
      </c>
      <c r="U830" s="9" t="s">
        <v>2215</v>
      </c>
    </row>
    <row r="831" customFormat="false" ht="15" hidden="false" customHeight="false" outlineLevel="0" collapsed="false">
      <c r="A831" s="9"/>
      <c r="B831" s="9"/>
      <c r="C831" s="9"/>
      <c r="D831" s="9"/>
      <c r="E831" s="9"/>
      <c r="F831" s="9" t="s">
        <v>2212</v>
      </c>
      <c r="G831" s="10" t="s">
        <v>2217</v>
      </c>
      <c r="H831" s="9" t="s">
        <v>2218</v>
      </c>
      <c r="I831" s="9" t="n">
        <v>228</v>
      </c>
      <c r="J831" s="9" t="n">
        <v>5394</v>
      </c>
      <c r="K831" s="11" t="n">
        <v>1348.5</v>
      </c>
      <c r="L831" s="11" t="n">
        <v>1</v>
      </c>
      <c r="M831" s="9" t="n">
        <v>1</v>
      </c>
      <c r="N831" s="11" t="n">
        <v>0.881</v>
      </c>
      <c r="O831" s="11" t="n">
        <v>0.882</v>
      </c>
      <c r="P831" s="12"/>
      <c r="Q831" s="12"/>
      <c r="R831" s="12"/>
      <c r="S831" s="12"/>
      <c r="T831" s="9" t="s">
        <v>2216</v>
      </c>
      <c r="U831" s="9" t="s">
        <v>2217</v>
      </c>
    </row>
    <row r="832" customFormat="false" ht="15" hidden="false" customHeight="false" outlineLevel="0" collapsed="false">
      <c r="A832" s="9"/>
      <c r="B832" s="9"/>
      <c r="C832" s="9"/>
      <c r="D832" s="9"/>
      <c r="E832" s="9"/>
      <c r="F832" s="9" t="s">
        <v>2212</v>
      </c>
      <c r="G832" s="10" t="s">
        <v>2219</v>
      </c>
      <c r="H832" s="9" t="s">
        <v>2203</v>
      </c>
      <c r="I832" s="9" t="n">
        <v>1</v>
      </c>
      <c r="J832" s="9" t="n">
        <v>3</v>
      </c>
      <c r="K832" s="11" t="n">
        <v>0.75</v>
      </c>
      <c r="L832" s="11" t="n">
        <v>1</v>
      </c>
      <c r="M832" s="9" t="n">
        <v>0</v>
      </c>
      <c r="N832" s="11" t="n">
        <v>0.667</v>
      </c>
      <c r="O832" s="11" t="n">
        <v>0.65</v>
      </c>
      <c r="P832" s="12"/>
      <c r="Q832" s="12"/>
      <c r="R832" s="12"/>
      <c r="S832" s="12"/>
      <c r="T832" s="9" t="s">
        <v>2216</v>
      </c>
      <c r="U832" s="9" t="s">
        <v>2219</v>
      </c>
    </row>
    <row r="833" customFormat="false" ht="15" hidden="false" customHeight="false" outlineLevel="0" collapsed="false">
      <c r="A833" s="9"/>
      <c r="B833" s="9"/>
      <c r="C833" s="9"/>
      <c r="D833" s="9"/>
      <c r="E833" s="9"/>
      <c r="F833" s="9" t="s">
        <v>2212</v>
      </c>
      <c r="G833" s="10" t="s">
        <v>2220</v>
      </c>
      <c r="H833" s="9" t="s">
        <v>2221</v>
      </c>
      <c r="I833" s="9" t="n">
        <v>2</v>
      </c>
      <c r="J833" s="9" t="n">
        <v>2</v>
      </c>
      <c r="K833" s="11" t="n">
        <v>0.5</v>
      </c>
      <c r="L833" s="11" t="n">
        <v>1</v>
      </c>
      <c r="M833" s="9" t="n">
        <v>0</v>
      </c>
      <c r="N833" s="11" t="n">
        <v>0.6</v>
      </c>
      <c r="O833" s="11" t="n">
        <v>0.64</v>
      </c>
      <c r="P833" s="12"/>
      <c r="Q833" s="12"/>
      <c r="R833" s="12"/>
      <c r="S833" s="12"/>
      <c r="T833" s="9" t="s">
        <v>2216</v>
      </c>
      <c r="U833" s="9" t="s">
        <v>2220</v>
      </c>
    </row>
    <row r="834" customFormat="false" ht="15" hidden="false" customHeight="false" outlineLevel="0" collapsed="false">
      <c r="A834" s="9"/>
      <c r="B834" s="9"/>
      <c r="C834" s="9"/>
      <c r="D834" s="9"/>
      <c r="E834" s="9"/>
      <c r="F834" s="9" t="s">
        <v>2222</v>
      </c>
      <c r="G834" s="10" t="s">
        <v>2223</v>
      </c>
      <c r="H834" s="9" t="s">
        <v>110</v>
      </c>
      <c r="I834" s="9" t="n">
        <v>2</v>
      </c>
      <c r="J834" s="9" t="n">
        <v>6</v>
      </c>
      <c r="K834" s="11" t="n">
        <v>1.5</v>
      </c>
      <c r="L834" s="11" t="n">
        <v>1</v>
      </c>
      <c r="M834" s="9" t="n">
        <v>0</v>
      </c>
      <c r="N834" s="11" t="n">
        <v>0.5</v>
      </c>
      <c r="O834" s="11" t="n">
        <v>0.625</v>
      </c>
      <c r="P834" s="12"/>
      <c r="Q834" s="12"/>
      <c r="R834" s="12"/>
      <c r="S834" s="12"/>
      <c r="T834" s="9" t="s">
        <v>2216</v>
      </c>
      <c r="U834" s="9" t="s">
        <v>2223</v>
      </c>
    </row>
    <row r="835" customFormat="false" ht="15" hidden="false" customHeight="false" outlineLevel="0" collapsed="false">
      <c r="A835" s="7" t="s">
        <v>1820</v>
      </c>
      <c r="B835" s="7" t="s">
        <v>2224</v>
      </c>
      <c r="C835" s="8" t="s">
        <v>744</v>
      </c>
      <c r="D835" s="7" t="s">
        <v>2086</v>
      </c>
      <c r="E835" s="7" t="n">
        <v>2094</v>
      </c>
      <c r="F835" s="9" t="s">
        <v>2225</v>
      </c>
      <c r="G835" s="10" t="s">
        <v>2226</v>
      </c>
      <c r="H835" s="9" t="s">
        <v>748</v>
      </c>
      <c r="I835" s="9" t="n">
        <v>14</v>
      </c>
      <c r="J835" s="9" t="n">
        <v>88</v>
      </c>
      <c r="K835" s="11" t="n">
        <v>0.042</v>
      </c>
      <c r="L835" s="11" t="n">
        <v>1</v>
      </c>
      <c r="M835" s="9" t="n">
        <v>1</v>
      </c>
      <c r="N835" s="11" t="n">
        <v>1</v>
      </c>
      <c r="O835" s="11" t="n">
        <v>0.95</v>
      </c>
      <c r="P835" s="12"/>
      <c r="Q835" s="12"/>
      <c r="R835" s="12"/>
      <c r="S835" s="12"/>
      <c r="T835" s="9" t="s">
        <v>2227</v>
      </c>
      <c r="U835" s="9" t="s">
        <v>2226</v>
      </c>
    </row>
    <row r="836" customFormat="false" ht="15" hidden="false" customHeight="false" outlineLevel="0" collapsed="false">
      <c r="A836" s="9"/>
      <c r="B836" s="9"/>
      <c r="C836" s="9"/>
      <c r="D836" s="9"/>
      <c r="E836" s="9"/>
      <c r="F836" s="9" t="s">
        <v>2225</v>
      </c>
      <c r="G836" s="10" t="s">
        <v>2228</v>
      </c>
      <c r="H836" s="9" t="s">
        <v>748</v>
      </c>
      <c r="I836" s="9" t="n">
        <v>40</v>
      </c>
      <c r="J836" s="9" t="n">
        <v>1768</v>
      </c>
      <c r="K836" s="11" t="n">
        <v>0.844</v>
      </c>
      <c r="L836" s="11" t="n">
        <v>1</v>
      </c>
      <c r="M836" s="9" t="n">
        <v>1</v>
      </c>
      <c r="N836" s="11" t="n">
        <v>0.5</v>
      </c>
      <c r="O836" s="11" t="n">
        <v>0.925</v>
      </c>
      <c r="P836" s="12"/>
      <c r="Q836" s="12"/>
      <c r="R836" s="12"/>
      <c r="S836" s="12"/>
      <c r="T836" s="9" t="s">
        <v>2227</v>
      </c>
      <c r="U836" s="9" t="s">
        <v>2228</v>
      </c>
    </row>
    <row r="837" customFormat="false" ht="15" hidden="false" customHeight="false" outlineLevel="0" collapsed="false">
      <c r="A837" s="9"/>
      <c r="B837" s="9"/>
      <c r="C837" s="9"/>
      <c r="D837" s="9"/>
      <c r="E837" s="9"/>
      <c r="F837" s="9" t="s">
        <v>2229</v>
      </c>
      <c r="G837" s="10" t="s">
        <v>2230</v>
      </c>
      <c r="H837" s="9" t="s">
        <v>2231</v>
      </c>
      <c r="I837" s="9" t="n">
        <v>16</v>
      </c>
      <c r="J837" s="9" t="n">
        <v>348</v>
      </c>
      <c r="K837" s="11" t="n">
        <v>0.166</v>
      </c>
      <c r="L837" s="11" t="n">
        <v>1</v>
      </c>
      <c r="M837" s="9" t="n">
        <v>0</v>
      </c>
      <c r="N837" s="11" t="n">
        <v>0.88</v>
      </c>
      <c r="O837" s="11" t="n">
        <v>0.682</v>
      </c>
      <c r="P837" s="12"/>
      <c r="Q837" s="12"/>
      <c r="R837" s="12"/>
      <c r="S837" s="12"/>
      <c r="T837" s="9" t="s">
        <v>2227</v>
      </c>
      <c r="U837" s="9" t="s">
        <v>2230</v>
      </c>
    </row>
    <row r="838" customFormat="false" ht="15" hidden="false" customHeight="false" outlineLevel="0" collapsed="false">
      <c r="A838" s="9"/>
      <c r="B838" s="9"/>
      <c r="C838" s="9"/>
      <c r="D838" s="9"/>
      <c r="E838" s="9"/>
      <c r="F838" s="9" t="s">
        <v>2224</v>
      </c>
      <c r="G838" s="10" t="s">
        <v>2232</v>
      </c>
      <c r="H838" s="9"/>
      <c r="I838" s="9" t="n">
        <v>1</v>
      </c>
      <c r="J838" s="9" t="n">
        <v>0</v>
      </c>
      <c r="K838" s="11" t="n">
        <v>0</v>
      </c>
      <c r="L838" s="11" t="n">
        <v>1</v>
      </c>
      <c r="M838" s="9" t="n">
        <v>0</v>
      </c>
      <c r="N838" s="11" t="n">
        <v>1</v>
      </c>
      <c r="O838" s="11" t="n">
        <v>0.6</v>
      </c>
      <c r="P838" s="12"/>
      <c r="Q838" s="12"/>
      <c r="R838" s="12"/>
      <c r="S838" s="12"/>
      <c r="T838" s="9" t="s">
        <v>2227</v>
      </c>
      <c r="U838" s="9" t="s">
        <v>2232</v>
      </c>
    </row>
    <row r="839" customFormat="false" ht="15" hidden="false" customHeight="false" outlineLevel="0" collapsed="false">
      <c r="A839" s="9"/>
      <c r="B839" s="9"/>
      <c r="C839" s="9"/>
      <c r="D839" s="9"/>
      <c r="E839" s="9"/>
      <c r="F839" s="9" t="s">
        <v>2225</v>
      </c>
      <c r="G839" s="10" t="s">
        <v>2233</v>
      </c>
      <c r="H839" s="9" t="s">
        <v>2234</v>
      </c>
      <c r="I839" s="9" t="n">
        <v>1</v>
      </c>
      <c r="J839" s="9" t="n">
        <v>0</v>
      </c>
      <c r="K839" s="11" t="n">
        <v>0</v>
      </c>
      <c r="L839" s="11" t="n">
        <v>1</v>
      </c>
      <c r="M839" s="9" t="n">
        <v>0</v>
      </c>
      <c r="N839" s="11" t="n">
        <v>1</v>
      </c>
      <c r="O839" s="11" t="n">
        <v>0.6</v>
      </c>
      <c r="P839" s="12"/>
      <c r="Q839" s="12"/>
      <c r="R839" s="12"/>
      <c r="S839" s="12"/>
      <c r="T839" s="9" t="s">
        <v>2227</v>
      </c>
      <c r="U839" s="9" t="s">
        <v>2233</v>
      </c>
    </row>
    <row r="840" customFormat="false" ht="15" hidden="false" customHeight="false" outlineLevel="0" collapsed="false">
      <c r="A840" s="7" t="s">
        <v>1820</v>
      </c>
      <c r="B840" s="7" t="s">
        <v>2235</v>
      </c>
      <c r="C840" s="8" t="s">
        <v>1796</v>
      </c>
      <c r="D840" s="7" t="s">
        <v>2236</v>
      </c>
      <c r="E840" s="7" t="n">
        <v>736</v>
      </c>
      <c r="F840" s="9" t="s">
        <v>2237</v>
      </c>
      <c r="G840" s="10" t="s">
        <v>2238</v>
      </c>
      <c r="H840" s="9" t="s">
        <v>1796</v>
      </c>
      <c r="I840" s="9" t="n">
        <v>4</v>
      </c>
      <c r="J840" s="9" t="n">
        <v>1</v>
      </c>
      <c r="K840" s="11" t="n">
        <v>0.001</v>
      </c>
      <c r="L840" s="11" t="n">
        <v>1</v>
      </c>
      <c r="M840" s="9" t="n">
        <v>1</v>
      </c>
      <c r="N840" s="11" t="n">
        <v>0.5</v>
      </c>
      <c r="O840" s="11" t="n">
        <v>0.825</v>
      </c>
      <c r="P840" s="12"/>
      <c r="Q840" s="12"/>
      <c r="R840" s="12"/>
      <c r="S840" s="12"/>
      <c r="T840" s="9" t="s">
        <v>2239</v>
      </c>
      <c r="U840" s="9" t="s">
        <v>2238</v>
      </c>
    </row>
    <row r="841" customFormat="false" ht="15" hidden="false" customHeight="false" outlineLevel="0" collapsed="false">
      <c r="A841" s="9"/>
      <c r="B841" s="9"/>
      <c r="C841" s="9"/>
      <c r="D841" s="9"/>
      <c r="E841" s="9"/>
      <c r="F841" s="9" t="s">
        <v>2237</v>
      </c>
      <c r="G841" s="10" t="s">
        <v>2240</v>
      </c>
      <c r="H841" s="9"/>
      <c r="I841" s="9" t="n">
        <v>1</v>
      </c>
      <c r="J841" s="9" t="n">
        <v>0</v>
      </c>
      <c r="K841" s="11" t="n">
        <v>0</v>
      </c>
      <c r="L841" s="11" t="n">
        <v>1</v>
      </c>
      <c r="M841" s="9" t="n">
        <v>0</v>
      </c>
      <c r="N841" s="11" t="n">
        <v>0.333</v>
      </c>
      <c r="O841" s="11" t="n">
        <v>0.5</v>
      </c>
      <c r="P841" s="12"/>
      <c r="Q841" s="12"/>
      <c r="R841" s="12"/>
      <c r="S841" s="12"/>
      <c r="T841" s="9" t="s">
        <v>2239</v>
      </c>
      <c r="U841" s="9" t="s">
        <v>2240</v>
      </c>
    </row>
    <row r="842" customFormat="false" ht="15" hidden="false" customHeight="false" outlineLevel="0" collapsed="false">
      <c r="A842" s="7" t="s">
        <v>1820</v>
      </c>
      <c r="B842" s="7" t="s">
        <v>2241</v>
      </c>
      <c r="C842" s="8" t="s">
        <v>1190</v>
      </c>
      <c r="D842" s="7" t="s">
        <v>2242</v>
      </c>
      <c r="E842" s="7" t="n">
        <v>720</v>
      </c>
      <c r="F842" s="9" t="s">
        <v>2241</v>
      </c>
      <c r="G842" s="10" t="s">
        <v>2243</v>
      </c>
      <c r="H842" s="9" t="s">
        <v>1190</v>
      </c>
      <c r="I842" s="9" t="n">
        <v>2</v>
      </c>
      <c r="J842" s="9" t="n">
        <v>13</v>
      </c>
      <c r="K842" s="11" t="n">
        <v>0.018</v>
      </c>
      <c r="L842" s="11" t="n">
        <v>1</v>
      </c>
      <c r="M842" s="9" t="n">
        <v>1</v>
      </c>
      <c r="N842" s="11" t="n">
        <v>0.8</v>
      </c>
      <c r="O842" s="11" t="n">
        <v>0.87</v>
      </c>
      <c r="P842" s="12"/>
      <c r="Q842" s="12"/>
      <c r="R842" s="12"/>
      <c r="S842" s="12"/>
      <c r="T842" s="9" t="s">
        <v>2244</v>
      </c>
      <c r="U842" s="9" t="s">
        <v>2243</v>
      </c>
    </row>
    <row r="843" customFormat="false" ht="15" hidden="false" customHeight="false" outlineLevel="0" collapsed="false">
      <c r="A843" s="7" t="s">
        <v>1820</v>
      </c>
      <c r="B843" s="7" t="s">
        <v>2245</v>
      </c>
      <c r="C843" s="8" t="s">
        <v>502</v>
      </c>
      <c r="D843" s="7" t="s">
        <v>2246</v>
      </c>
      <c r="E843" s="7" t="n">
        <v>105</v>
      </c>
      <c r="F843" s="9" t="s">
        <v>2245</v>
      </c>
      <c r="G843" s="10" t="s">
        <v>2247</v>
      </c>
      <c r="H843" s="9" t="s">
        <v>2248</v>
      </c>
      <c r="I843" s="9" t="n">
        <v>452</v>
      </c>
      <c r="J843" s="9" t="n">
        <v>14351</v>
      </c>
      <c r="K843" s="11" t="n">
        <v>136.676</v>
      </c>
      <c r="L843" s="11" t="n">
        <v>1</v>
      </c>
      <c r="M843" s="9" t="n">
        <v>1</v>
      </c>
      <c r="N843" s="11" t="n">
        <v>0</v>
      </c>
      <c r="O843" s="11" t="n">
        <v>0.75</v>
      </c>
      <c r="P843" s="12"/>
      <c r="Q843" s="12"/>
      <c r="R843" s="12"/>
      <c r="S843" s="12"/>
      <c r="T843" s="9" t="s">
        <v>2249</v>
      </c>
      <c r="U843" s="9" t="s">
        <v>2247</v>
      </c>
    </row>
    <row r="844" customFormat="false" ht="15" hidden="false" customHeight="false" outlineLevel="0" collapsed="false">
      <c r="A844" s="9"/>
      <c r="B844" s="9"/>
      <c r="C844" s="9"/>
      <c r="D844" s="9"/>
      <c r="E844" s="9"/>
      <c r="F844" s="9" t="s">
        <v>2250</v>
      </c>
      <c r="G844" s="10" t="s">
        <v>2251</v>
      </c>
      <c r="H844" s="9"/>
      <c r="I844" s="9" t="n">
        <v>7</v>
      </c>
      <c r="J844" s="9" t="n">
        <v>331</v>
      </c>
      <c r="K844" s="11" t="n">
        <v>3.152</v>
      </c>
      <c r="L844" s="11" t="n">
        <v>1</v>
      </c>
      <c r="M844" s="9" t="n">
        <v>0.5</v>
      </c>
      <c r="N844" s="11" t="n">
        <v>0.6</v>
      </c>
      <c r="O844" s="11" t="n">
        <v>0.69</v>
      </c>
      <c r="P844" s="12"/>
      <c r="Q844" s="12"/>
      <c r="R844" s="12"/>
      <c r="S844" s="12"/>
      <c r="T844" s="9" t="s">
        <v>2249</v>
      </c>
      <c r="U844" s="9" t="s">
        <v>2251</v>
      </c>
    </row>
    <row r="845" customFormat="false" ht="15" hidden="false" customHeight="false" outlineLevel="0" collapsed="false">
      <c r="A845" s="9"/>
      <c r="B845" s="9"/>
      <c r="C845" s="9"/>
      <c r="D845" s="9"/>
      <c r="E845" s="9"/>
      <c r="F845" s="9" t="s">
        <v>2252</v>
      </c>
      <c r="G845" s="10" t="s">
        <v>2253</v>
      </c>
      <c r="H845" s="9" t="s">
        <v>2254</v>
      </c>
      <c r="I845" s="9" t="n">
        <v>6</v>
      </c>
      <c r="J845" s="9" t="n">
        <v>255</v>
      </c>
      <c r="K845" s="11" t="n">
        <v>2.429</v>
      </c>
      <c r="L845" s="11" t="n">
        <v>1</v>
      </c>
      <c r="M845" s="9" t="n">
        <v>0</v>
      </c>
      <c r="N845" s="11" t="n">
        <v>0.667</v>
      </c>
      <c r="O845" s="11" t="n">
        <v>0.6</v>
      </c>
      <c r="P845" s="12"/>
      <c r="Q845" s="12"/>
      <c r="R845" s="12"/>
      <c r="S845" s="12"/>
      <c r="T845" s="9" t="s">
        <v>2249</v>
      </c>
      <c r="U845" s="9" t="s">
        <v>2253</v>
      </c>
    </row>
    <row r="846" customFormat="false" ht="15" hidden="false" customHeight="false" outlineLevel="0" collapsed="false">
      <c r="A846" s="9"/>
      <c r="B846" s="9"/>
      <c r="C846" s="9"/>
      <c r="D846" s="9"/>
      <c r="E846" s="9"/>
      <c r="F846" s="9" t="s">
        <v>2245</v>
      </c>
      <c r="G846" s="10" t="s">
        <v>2255</v>
      </c>
      <c r="H846" s="9" t="s">
        <v>2256</v>
      </c>
      <c r="I846" s="9" t="n">
        <v>1</v>
      </c>
      <c r="J846" s="9" t="n">
        <v>50</v>
      </c>
      <c r="K846" s="11" t="n">
        <v>0.476</v>
      </c>
      <c r="L846" s="11" t="n">
        <v>1</v>
      </c>
      <c r="M846" s="9" t="n">
        <v>0</v>
      </c>
      <c r="N846" s="11" t="n">
        <v>0.333</v>
      </c>
      <c r="O846" s="11" t="n">
        <v>0.6</v>
      </c>
      <c r="P846" s="12"/>
      <c r="Q846" s="12"/>
      <c r="R846" s="12"/>
      <c r="S846" s="12"/>
      <c r="T846" s="9" t="s">
        <v>2249</v>
      </c>
      <c r="U846" s="9" t="s">
        <v>2255</v>
      </c>
    </row>
    <row r="847" customFormat="false" ht="15" hidden="false" customHeight="false" outlineLevel="0" collapsed="false">
      <c r="A847" s="9"/>
      <c r="B847" s="9"/>
      <c r="C847" s="9"/>
      <c r="D847" s="9"/>
      <c r="E847" s="9"/>
      <c r="F847" s="9" t="s">
        <v>2257</v>
      </c>
      <c r="G847" s="10" t="s">
        <v>2258</v>
      </c>
      <c r="H847" s="9" t="s">
        <v>944</v>
      </c>
      <c r="I847" s="9" t="n">
        <v>56</v>
      </c>
      <c r="J847" s="9" t="n">
        <v>2903</v>
      </c>
      <c r="K847" s="11" t="n">
        <v>27.648</v>
      </c>
      <c r="L847" s="11" t="n">
        <v>1</v>
      </c>
      <c r="M847" s="9" t="n">
        <v>0</v>
      </c>
      <c r="N847" s="11" t="n">
        <v>0.8</v>
      </c>
      <c r="O847" s="11" t="n">
        <v>0.57</v>
      </c>
      <c r="P847" s="12"/>
      <c r="Q847" s="12"/>
      <c r="R847" s="12"/>
      <c r="S847" s="12"/>
      <c r="T847" s="9" t="s">
        <v>2249</v>
      </c>
      <c r="U847" s="9" t="s">
        <v>2258</v>
      </c>
    </row>
    <row r="848" customFormat="false" ht="15" hidden="false" customHeight="false" outlineLevel="0" collapsed="false">
      <c r="A848" s="7" t="s">
        <v>1820</v>
      </c>
      <c r="B848" s="7" t="s">
        <v>2259</v>
      </c>
      <c r="C848" s="8" t="s">
        <v>1844</v>
      </c>
      <c r="D848" s="7" t="s">
        <v>2260</v>
      </c>
      <c r="E848" s="7" t="n">
        <v>3423</v>
      </c>
      <c r="F848" s="9" t="s">
        <v>2259</v>
      </c>
      <c r="G848" s="10" t="s">
        <v>2261</v>
      </c>
      <c r="H848" s="9" t="s">
        <v>1844</v>
      </c>
      <c r="I848" s="9" t="n">
        <v>4</v>
      </c>
      <c r="J848" s="9" t="n">
        <v>40</v>
      </c>
      <c r="K848" s="11" t="n">
        <v>0.012</v>
      </c>
      <c r="L848" s="11" t="n">
        <v>1</v>
      </c>
      <c r="M848" s="9" t="n">
        <v>1</v>
      </c>
      <c r="N848" s="11" t="n">
        <v>0.625</v>
      </c>
      <c r="O848" s="11" t="n">
        <v>0.844</v>
      </c>
      <c r="P848" s="12"/>
      <c r="Q848" s="12"/>
      <c r="R848" s="12"/>
      <c r="S848" s="12"/>
      <c r="T848" s="9" t="s">
        <v>2262</v>
      </c>
      <c r="U848" s="9" t="s">
        <v>2261</v>
      </c>
    </row>
    <row r="849" customFormat="false" ht="15" hidden="false" customHeight="false" outlineLevel="0" collapsed="false">
      <c r="A849" s="7" t="s">
        <v>1820</v>
      </c>
      <c r="B849" s="7" t="s">
        <v>2263</v>
      </c>
      <c r="C849" s="8" t="s">
        <v>1454</v>
      </c>
      <c r="D849" s="7" t="s">
        <v>2264</v>
      </c>
      <c r="E849" s="7" t="n">
        <v>401</v>
      </c>
      <c r="F849" s="9" t="s">
        <v>2265</v>
      </c>
      <c r="G849" s="10" t="s">
        <v>2266</v>
      </c>
      <c r="H849" s="9" t="s">
        <v>1461</v>
      </c>
      <c r="I849" s="9" t="n">
        <v>1</v>
      </c>
      <c r="J849" s="9" t="n">
        <v>4</v>
      </c>
      <c r="K849" s="11" t="n">
        <v>0.01</v>
      </c>
      <c r="L849" s="11" t="n">
        <v>1</v>
      </c>
      <c r="M849" s="9" t="n">
        <v>1</v>
      </c>
      <c r="N849" s="11" t="n">
        <v>0.667</v>
      </c>
      <c r="O849" s="11" t="n">
        <v>0.85</v>
      </c>
      <c r="P849" s="12"/>
      <c r="Q849" s="12"/>
      <c r="R849" s="12"/>
      <c r="S849" s="12"/>
      <c r="T849" s="9" t="s">
        <v>2267</v>
      </c>
      <c r="U849" s="9" t="s">
        <v>2266</v>
      </c>
    </row>
    <row r="850" customFormat="false" ht="15" hidden="false" customHeight="false" outlineLevel="0" collapsed="false">
      <c r="A850" s="9"/>
      <c r="B850" s="9"/>
      <c r="C850" s="9"/>
      <c r="D850" s="9"/>
      <c r="E850" s="9"/>
      <c r="F850" s="9" t="s">
        <v>2265</v>
      </c>
      <c r="G850" s="10" t="s">
        <v>2268</v>
      </c>
      <c r="H850" s="9" t="s">
        <v>137</v>
      </c>
      <c r="I850" s="9" t="n">
        <v>2</v>
      </c>
      <c r="J850" s="9" t="n">
        <v>17</v>
      </c>
      <c r="K850" s="11" t="n">
        <v>0.042</v>
      </c>
      <c r="L850" s="11" t="n">
        <v>1</v>
      </c>
      <c r="M850" s="9" t="n">
        <v>0.5</v>
      </c>
      <c r="N850" s="11" t="n">
        <v>1</v>
      </c>
      <c r="O850" s="11" t="n">
        <v>0.8</v>
      </c>
      <c r="P850" s="12"/>
      <c r="Q850" s="12"/>
      <c r="R850" s="12"/>
      <c r="S850" s="12"/>
      <c r="T850" s="9" t="s">
        <v>2267</v>
      </c>
      <c r="U850" s="9" t="s">
        <v>2268</v>
      </c>
    </row>
    <row r="851" customFormat="false" ht="15" hidden="false" customHeight="false" outlineLevel="0" collapsed="false">
      <c r="A851" s="9"/>
      <c r="B851" s="9"/>
      <c r="C851" s="9"/>
      <c r="D851" s="9"/>
      <c r="E851" s="9"/>
      <c r="F851" s="9" t="s">
        <v>2269</v>
      </c>
      <c r="G851" s="10" t="s">
        <v>2270</v>
      </c>
      <c r="H851" s="9" t="s">
        <v>2271</v>
      </c>
      <c r="I851" s="9" t="n">
        <v>74</v>
      </c>
      <c r="J851" s="9" t="n">
        <v>1737</v>
      </c>
      <c r="K851" s="11" t="n">
        <v>4.332</v>
      </c>
      <c r="L851" s="11" t="n">
        <v>1</v>
      </c>
      <c r="M851" s="9" t="n">
        <v>1</v>
      </c>
      <c r="N851" s="11" t="n">
        <v>0.276</v>
      </c>
      <c r="O851" s="11" t="n">
        <v>0.791</v>
      </c>
      <c r="P851" s="12"/>
      <c r="Q851" s="12"/>
      <c r="R851" s="12"/>
      <c r="S851" s="12"/>
      <c r="T851" s="9" t="s">
        <v>2267</v>
      </c>
      <c r="U851" s="9" t="s">
        <v>2270</v>
      </c>
    </row>
    <row r="852" customFormat="false" ht="15" hidden="false" customHeight="false" outlineLevel="0" collapsed="false">
      <c r="A852" s="7" t="s">
        <v>1820</v>
      </c>
      <c r="B852" s="7" t="s">
        <v>2272</v>
      </c>
      <c r="C852" s="8" t="s">
        <v>253</v>
      </c>
      <c r="D852" s="7" t="s">
        <v>2273</v>
      </c>
      <c r="E852" s="7" t="n">
        <v>1429</v>
      </c>
      <c r="F852" s="9" t="s">
        <v>2274</v>
      </c>
      <c r="G852" s="10" t="s">
        <v>2275</v>
      </c>
      <c r="H852" s="9" t="s">
        <v>2276</v>
      </c>
      <c r="I852" s="9" t="n">
        <v>67</v>
      </c>
      <c r="J852" s="9" t="n">
        <v>2398</v>
      </c>
      <c r="K852" s="11" t="n">
        <v>1.8</v>
      </c>
      <c r="L852" s="11" t="n">
        <v>1</v>
      </c>
      <c r="M852" s="9" t="n">
        <v>1</v>
      </c>
      <c r="N852" s="11" t="n">
        <v>0.828</v>
      </c>
      <c r="O852" s="11" t="n">
        <v>0.924</v>
      </c>
      <c r="P852" s="12"/>
      <c r="Q852" s="12"/>
      <c r="R852" s="12"/>
      <c r="S852" s="12"/>
      <c r="T852" s="9" t="s">
        <v>2277</v>
      </c>
      <c r="U852" s="9" t="s">
        <v>2275</v>
      </c>
    </row>
    <row r="853" customFormat="false" ht="15" hidden="false" customHeight="false" outlineLevel="0" collapsed="false">
      <c r="A853" s="9"/>
      <c r="B853" s="9"/>
      <c r="C853" s="9"/>
      <c r="D853" s="9"/>
      <c r="E853" s="9"/>
      <c r="F853" s="9" t="s">
        <v>2278</v>
      </c>
      <c r="G853" s="10" t="s">
        <v>2279</v>
      </c>
      <c r="H853" s="9" t="s">
        <v>2280</v>
      </c>
      <c r="I853" s="9" t="n">
        <v>79</v>
      </c>
      <c r="J853" s="9" t="n">
        <v>933</v>
      </c>
      <c r="K853" s="11" t="n">
        <v>0.7</v>
      </c>
      <c r="L853" s="11" t="n">
        <v>1</v>
      </c>
      <c r="M853" s="9" t="n">
        <v>1</v>
      </c>
      <c r="N853" s="11" t="n">
        <v>0</v>
      </c>
      <c r="O853" s="11" t="n">
        <v>0.85</v>
      </c>
      <c r="P853" s="12"/>
      <c r="Q853" s="12"/>
      <c r="R853" s="12"/>
      <c r="S853" s="12"/>
      <c r="T853" s="9" t="s">
        <v>2277</v>
      </c>
      <c r="U853" s="9" t="s">
        <v>2279</v>
      </c>
    </row>
    <row r="854" customFormat="false" ht="15" hidden="false" customHeight="false" outlineLevel="0" collapsed="false">
      <c r="A854" s="9"/>
      <c r="B854" s="9"/>
      <c r="C854" s="9"/>
      <c r="D854" s="9"/>
      <c r="E854" s="9"/>
      <c r="F854" s="9" t="s">
        <v>2272</v>
      </c>
      <c r="G854" s="10" t="s">
        <v>2281</v>
      </c>
      <c r="H854" s="9"/>
      <c r="I854" s="9" t="n">
        <v>1</v>
      </c>
      <c r="J854" s="9" t="n">
        <v>0</v>
      </c>
      <c r="K854" s="11" t="n">
        <v>0</v>
      </c>
      <c r="L854" s="11" t="n">
        <v>1</v>
      </c>
      <c r="M854" s="9" t="n">
        <v>0</v>
      </c>
      <c r="N854" s="11" t="n">
        <v>1</v>
      </c>
      <c r="O854" s="11" t="n">
        <v>0.6</v>
      </c>
      <c r="P854" s="12"/>
      <c r="Q854" s="12"/>
      <c r="R854" s="12"/>
      <c r="S854" s="12"/>
      <c r="T854" s="9" t="s">
        <v>2277</v>
      </c>
      <c r="U854" s="9" t="s">
        <v>2281</v>
      </c>
    </row>
    <row r="855" customFormat="false" ht="15" hidden="false" customHeight="false" outlineLevel="0" collapsed="false">
      <c r="A855" s="9"/>
      <c r="B855" s="9"/>
      <c r="C855" s="9"/>
      <c r="D855" s="9"/>
      <c r="E855" s="9"/>
      <c r="F855" s="9" t="s">
        <v>2272</v>
      </c>
      <c r="G855" s="10" t="s">
        <v>2282</v>
      </c>
      <c r="H855" s="9"/>
      <c r="I855" s="9" t="n">
        <v>6</v>
      </c>
      <c r="J855" s="9" t="n">
        <v>0</v>
      </c>
      <c r="K855" s="11" t="n">
        <v>0</v>
      </c>
      <c r="L855" s="11" t="n">
        <v>1</v>
      </c>
      <c r="M855" s="9" t="n">
        <v>0</v>
      </c>
      <c r="N855" s="11" t="n">
        <v>0.8</v>
      </c>
      <c r="O855" s="11" t="n">
        <v>0.57</v>
      </c>
      <c r="P855" s="12"/>
      <c r="Q855" s="12"/>
      <c r="R855" s="12"/>
      <c r="S855" s="12"/>
      <c r="T855" s="9" t="s">
        <v>2277</v>
      </c>
      <c r="U855" s="9" t="s">
        <v>2282</v>
      </c>
    </row>
    <row r="856" customFormat="false" ht="15" hidden="false" customHeight="false" outlineLevel="0" collapsed="false">
      <c r="A856" s="9"/>
      <c r="B856" s="9"/>
      <c r="C856" s="9"/>
      <c r="D856" s="9"/>
      <c r="E856" s="9"/>
      <c r="F856" s="9" t="s">
        <v>2272</v>
      </c>
      <c r="G856" s="10" t="s">
        <v>2283</v>
      </c>
      <c r="H856" s="9"/>
      <c r="I856" s="9" t="n">
        <v>1</v>
      </c>
      <c r="J856" s="9" t="n">
        <v>0</v>
      </c>
      <c r="K856" s="11" t="n">
        <v>0</v>
      </c>
      <c r="L856" s="11" t="n">
        <v>1</v>
      </c>
      <c r="M856" s="9" t="n">
        <v>0</v>
      </c>
      <c r="N856" s="11" t="n">
        <v>0.667</v>
      </c>
      <c r="O856" s="11" t="n">
        <v>0.55</v>
      </c>
      <c r="P856" s="12"/>
      <c r="Q856" s="12"/>
      <c r="R856" s="12"/>
      <c r="S856" s="12"/>
      <c r="T856" s="9" t="s">
        <v>2277</v>
      </c>
      <c r="U856" s="9" t="s">
        <v>2283</v>
      </c>
    </row>
    <row r="857" customFormat="false" ht="15" hidden="false" customHeight="false" outlineLevel="0" collapsed="false">
      <c r="A857" s="7" t="s">
        <v>1820</v>
      </c>
      <c r="B857" s="7" t="s">
        <v>2284</v>
      </c>
      <c r="C857" s="8" t="s">
        <v>101</v>
      </c>
      <c r="D857" s="7" t="s">
        <v>2285</v>
      </c>
      <c r="E857" s="7" t="n">
        <v>22910</v>
      </c>
      <c r="F857" s="9" t="s">
        <v>2286</v>
      </c>
      <c r="G857" s="10" t="s">
        <v>2287</v>
      </c>
      <c r="H857" s="9" t="s">
        <v>2288</v>
      </c>
      <c r="I857" s="9" t="n">
        <v>113</v>
      </c>
      <c r="J857" s="9" t="n">
        <v>998</v>
      </c>
      <c r="K857" s="11" t="n">
        <v>0.047</v>
      </c>
      <c r="L857" s="11" t="n">
        <v>1</v>
      </c>
      <c r="M857" s="9" t="n">
        <v>1</v>
      </c>
      <c r="N857" s="11" t="n">
        <v>0</v>
      </c>
      <c r="O857" s="11" t="n">
        <v>0.8</v>
      </c>
      <c r="P857" s="12"/>
      <c r="Q857" s="12"/>
      <c r="R857" s="12"/>
      <c r="S857" s="12"/>
      <c r="T857" s="9" t="s">
        <v>2289</v>
      </c>
      <c r="U857" s="9" t="s">
        <v>2287</v>
      </c>
    </row>
    <row r="858" customFormat="false" ht="15" hidden="false" customHeight="false" outlineLevel="0" collapsed="false">
      <c r="A858" s="9"/>
      <c r="B858" s="9"/>
      <c r="C858" s="9"/>
      <c r="D858" s="9"/>
      <c r="E858" s="9"/>
      <c r="F858" s="9" t="s">
        <v>2290</v>
      </c>
      <c r="G858" s="10" t="s">
        <v>2291</v>
      </c>
      <c r="H858" s="9" t="s">
        <v>2292</v>
      </c>
      <c r="I858" s="9" t="n">
        <v>12</v>
      </c>
      <c r="J858" s="9" t="n">
        <v>235</v>
      </c>
      <c r="K858" s="11" t="n">
        <v>0.011</v>
      </c>
      <c r="L858" s="11" t="n">
        <v>1</v>
      </c>
      <c r="M858" s="9" t="n">
        <v>0.5</v>
      </c>
      <c r="N858" s="11" t="n">
        <v>0.905</v>
      </c>
      <c r="O858" s="11" t="n">
        <v>0.736</v>
      </c>
      <c r="P858" s="12"/>
      <c r="Q858" s="12"/>
      <c r="R858" s="12"/>
      <c r="S858" s="12"/>
      <c r="T858" s="9" t="s">
        <v>2289</v>
      </c>
      <c r="U858" s="9" t="s">
        <v>2291</v>
      </c>
    </row>
    <row r="859" customFormat="false" ht="15" hidden="false" customHeight="false" outlineLevel="0" collapsed="false">
      <c r="A859" s="9"/>
      <c r="B859" s="9"/>
      <c r="C859" s="9"/>
      <c r="D859" s="9"/>
      <c r="E859" s="9"/>
      <c r="F859" s="9" t="s">
        <v>2286</v>
      </c>
      <c r="G859" s="10" t="s">
        <v>2293</v>
      </c>
      <c r="H859" s="9" t="s">
        <v>372</v>
      </c>
      <c r="I859" s="9" t="n">
        <v>51</v>
      </c>
      <c r="J859" s="9" t="n">
        <v>956</v>
      </c>
      <c r="K859" s="11" t="n">
        <v>0.045</v>
      </c>
      <c r="L859" s="11" t="n">
        <v>1</v>
      </c>
      <c r="M859" s="9" t="n">
        <v>0.5</v>
      </c>
      <c r="N859" s="11" t="n">
        <v>0.149</v>
      </c>
      <c r="O859" s="11" t="n">
        <v>0.672</v>
      </c>
      <c r="P859" s="12"/>
      <c r="Q859" s="12"/>
      <c r="R859" s="12"/>
      <c r="S859" s="12"/>
      <c r="T859" s="9" t="s">
        <v>2289</v>
      </c>
      <c r="U859" s="9" t="s">
        <v>2293</v>
      </c>
    </row>
    <row r="860" customFormat="false" ht="15" hidden="false" customHeight="false" outlineLevel="0" collapsed="false">
      <c r="A860" s="9"/>
      <c r="B860" s="9"/>
      <c r="C860" s="9"/>
      <c r="D860" s="9"/>
      <c r="E860" s="9"/>
      <c r="F860" s="9" t="s">
        <v>2294</v>
      </c>
      <c r="G860" s="10" t="s">
        <v>2295</v>
      </c>
      <c r="H860" s="9" t="s">
        <v>65</v>
      </c>
      <c r="I860" s="9" t="n">
        <v>62</v>
      </c>
      <c r="J860" s="9" t="n">
        <v>1104</v>
      </c>
      <c r="K860" s="11" t="n">
        <v>0.052</v>
      </c>
      <c r="L860" s="11" t="n">
        <v>1</v>
      </c>
      <c r="M860" s="9" t="n">
        <v>0.5</v>
      </c>
      <c r="N860" s="11" t="n">
        <v>0.15</v>
      </c>
      <c r="O860" s="11" t="n">
        <v>0.672</v>
      </c>
      <c r="P860" s="12"/>
      <c r="Q860" s="12"/>
      <c r="R860" s="12"/>
      <c r="S860" s="12"/>
      <c r="T860" s="9" t="s">
        <v>2289</v>
      </c>
      <c r="U860" s="9" t="s">
        <v>2295</v>
      </c>
    </row>
    <row r="861" customFormat="false" ht="15" hidden="false" customHeight="false" outlineLevel="0" collapsed="false">
      <c r="A861" s="9"/>
      <c r="B861" s="9"/>
      <c r="C861" s="9"/>
      <c r="D861" s="9"/>
      <c r="E861" s="9"/>
      <c r="F861" s="9" t="s">
        <v>2286</v>
      </c>
      <c r="G861" s="10" t="s">
        <v>2296</v>
      </c>
      <c r="H861" s="9" t="s">
        <v>2297</v>
      </c>
      <c r="I861" s="9" t="n">
        <v>157</v>
      </c>
      <c r="J861" s="9" t="n">
        <v>1939</v>
      </c>
      <c r="K861" s="11" t="n">
        <v>0.091</v>
      </c>
      <c r="L861" s="11" t="n">
        <v>1</v>
      </c>
      <c r="M861" s="9" t="n">
        <v>0.5</v>
      </c>
      <c r="N861" s="11" t="n">
        <v>0.098</v>
      </c>
      <c r="O861" s="11" t="n">
        <v>0.665</v>
      </c>
      <c r="P861" s="12"/>
      <c r="Q861" s="12"/>
      <c r="R861" s="12"/>
      <c r="S861" s="12"/>
      <c r="T861" s="9" t="s">
        <v>2289</v>
      </c>
      <c r="U861" s="9" t="s">
        <v>2296</v>
      </c>
    </row>
    <row r="862" customFormat="false" ht="15" hidden="false" customHeight="false" outlineLevel="0" collapsed="false">
      <c r="A862" s="7" t="s">
        <v>1820</v>
      </c>
      <c r="B862" s="7" t="s">
        <v>2298</v>
      </c>
      <c r="C862" s="8" t="s">
        <v>695</v>
      </c>
      <c r="D862" s="7" t="s">
        <v>2299</v>
      </c>
      <c r="E862" s="7" t="n">
        <v>175</v>
      </c>
      <c r="F862" s="9" t="s">
        <v>2298</v>
      </c>
      <c r="G862" s="10" t="s">
        <v>2300</v>
      </c>
      <c r="H862" s="9" t="s">
        <v>695</v>
      </c>
      <c r="I862" s="9" t="n">
        <v>3</v>
      </c>
      <c r="J862" s="9" t="n">
        <v>12</v>
      </c>
      <c r="K862" s="11" t="n">
        <v>0.069</v>
      </c>
      <c r="L862" s="11" t="n">
        <v>1</v>
      </c>
      <c r="M862" s="9" t="n">
        <v>1</v>
      </c>
      <c r="N862" s="11" t="n">
        <v>0.5</v>
      </c>
      <c r="O862" s="11" t="n">
        <v>0.875</v>
      </c>
      <c r="P862" s="12"/>
      <c r="Q862" s="12"/>
      <c r="R862" s="12"/>
      <c r="S862" s="12"/>
      <c r="T862" s="9" t="s">
        <v>2301</v>
      </c>
      <c r="U862" s="9" t="s">
        <v>2300</v>
      </c>
    </row>
    <row r="863" customFormat="false" ht="15" hidden="false" customHeight="false" outlineLevel="0" collapsed="false">
      <c r="A863" s="9"/>
      <c r="B863" s="9"/>
      <c r="C863" s="9"/>
      <c r="D863" s="9"/>
      <c r="E863" s="9"/>
      <c r="F863" s="9" t="s">
        <v>2298</v>
      </c>
      <c r="G863" s="10" t="s">
        <v>2302</v>
      </c>
      <c r="H863" s="9" t="s">
        <v>941</v>
      </c>
      <c r="I863" s="9" t="n">
        <v>24</v>
      </c>
      <c r="J863" s="9" t="n">
        <v>207</v>
      </c>
      <c r="K863" s="11" t="n">
        <v>1.183</v>
      </c>
      <c r="L863" s="11" t="n">
        <v>1</v>
      </c>
      <c r="M863" s="9" t="n">
        <v>0</v>
      </c>
      <c r="N863" s="11" t="n">
        <v>0.727</v>
      </c>
      <c r="O863" s="11" t="n">
        <v>0.659</v>
      </c>
      <c r="P863" s="12"/>
      <c r="Q863" s="12"/>
      <c r="R863" s="12"/>
      <c r="S863" s="12"/>
      <c r="T863" s="9" t="s">
        <v>2301</v>
      </c>
      <c r="U863" s="9" t="s">
        <v>2302</v>
      </c>
    </row>
    <row r="864" customFormat="false" ht="15" hidden="false" customHeight="false" outlineLevel="0" collapsed="false">
      <c r="A864" s="9"/>
      <c r="B864" s="9"/>
      <c r="C864" s="9"/>
      <c r="D864" s="9"/>
      <c r="E864" s="9"/>
      <c r="F864" s="9" t="s">
        <v>2303</v>
      </c>
      <c r="G864" s="10" t="s">
        <v>2304</v>
      </c>
      <c r="H864" s="9" t="s">
        <v>2305</v>
      </c>
      <c r="I864" s="9" t="n">
        <v>1</v>
      </c>
      <c r="J864" s="9" t="n">
        <v>36</v>
      </c>
      <c r="K864" s="11" t="n">
        <v>0.206</v>
      </c>
      <c r="L864" s="11" t="n">
        <v>1</v>
      </c>
      <c r="M864" s="9" t="n">
        <v>0</v>
      </c>
      <c r="N864" s="11" t="n">
        <v>0.333</v>
      </c>
      <c r="O864" s="11" t="n">
        <v>0.6</v>
      </c>
      <c r="P864" s="12"/>
      <c r="Q864" s="12"/>
      <c r="R864" s="12"/>
      <c r="S864" s="12"/>
      <c r="T864" s="9" t="s">
        <v>2301</v>
      </c>
      <c r="U864" s="9" t="s">
        <v>2304</v>
      </c>
    </row>
    <row r="865" customFormat="false" ht="15" hidden="false" customHeight="false" outlineLevel="0" collapsed="false">
      <c r="A865" s="9"/>
      <c r="B865" s="9"/>
      <c r="C865" s="9"/>
      <c r="D865" s="9"/>
      <c r="E865" s="9"/>
      <c r="F865" s="9" t="s">
        <v>2306</v>
      </c>
      <c r="G865" s="10" t="s">
        <v>2307</v>
      </c>
      <c r="H865" s="9"/>
      <c r="I865" s="9" t="n">
        <v>3</v>
      </c>
      <c r="J865" s="9" t="n">
        <v>0</v>
      </c>
      <c r="K865" s="11" t="n">
        <v>0</v>
      </c>
      <c r="L865" s="11" t="n">
        <v>1</v>
      </c>
      <c r="M865" s="9" t="n">
        <v>0</v>
      </c>
      <c r="N865" s="11" t="n">
        <v>1</v>
      </c>
      <c r="O865" s="11" t="n">
        <v>0.6</v>
      </c>
      <c r="P865" s="12"/>
      <c r="Q865" s="12"/>
      <c r="R865" s="12"/>
      <c r="S865" s="12"/>
      <c r="T865" s="9" t="s">
        <v>2301</v>
      </c>
      <c r="U865" s="9" t="s">
        <v>2307</v>
      </c>
    </row>
    <row r="866" customFormat="false" ht="15" hidden="false" customHeight="false" outlineLevel="0" collapsed="false">
      <c r="A866" s="9"/>
      <c r="B866" s="9"/>
      <c r="C866" s="9"/>
      <c r="D866" s="9"/>
      <c r="E866" s="9"/>
      <c r="F866" s="9" t="s">
        <v>2306</v>
      </c>
      <c r="G866" s="10" t="s">
        <v>2308</v>
      </c>
      <c r="H866" s="9"/>
      <c r="I866" s="9" t="n">
        <v>1</v>
      </c>
      <c r="J866" s="9" t="n">
        <v>0</v>
      </c>
      <c r="K866" s="11" t="n">
        <v>0</v>
      </c>
      <c r="L866" s="11" t="n">
        <v>1</v>
      </c>
      <c r="M866" s="9" t="n">
        <v>0</v>
      </c>
      <c r="N866" s="11" t="n">
        <v>1</v>
      </c>
      <c r="O866" s="11" t="n">
        <v>0.6</v>
      </c>
      <c r="P866" s="12"/>
      <c r="Q866" s="12"/>
      <c r="R866" s="12"/>
      <c r="S866" s="12"/>
      <c r="T866" s="9" t="s">
        <v>2301</v>
      </c>
      <c r="U866" s="9" t="s">
        <v>2308</v>
      </c>
    </row>
    <row r="867" customFormat="false" ht="15" hidden="false" customHeight="false" outlineLevel="0" collapsed="false">
      <c r="A867" s="7" t="s">
        <v>1820</v>
      </c>
      <c r="B867" s="7" t="s">
        <v>2309</v>
      </c>
      <c r="C867" s="8" t="s">
        <v>2310</v>
      </c>
      <c r="D867" s="7" t="s">
        <v>2311</v>
      </c>
      <c r="E867" s="7" t="n">
        <v>93</v>
      </c>
      <c r="F867" s="9" t="s">
        <v>2309</v>
      </c>
      <c r="G867" s="10" t="s">
        <v>2312</v>
      </c>
      <c r="H867" s="9" t="s">
        <v>2310</v>
      </c>
      <c r="I867" s="9" t="n">
        <v>3</v>
      </c>
      <c r="J867" s="9" t="n">
        <v>4</v>
      </c>
      <c r="K867" s="11" t="n">
        <v>0.043</v>
      </c>
      <c r="L867" s="11" t="n">
        <v>1</v>
      </c>
      <c r="M867" s="9" t="n">
        <v>1</v>
      </c>
      <c r="N867" s="11" t="n">
        <v>1</v>
      </c>
      <c r="O867" s="11" t="n">
        <v>0.95</v>
      </c>
      <c r="P867" s="12"/>
      <c r="Q867" s="12"/>
      <c r="R867" s="12"/>
      <c r="S867" s="12"/>
      <c r="T867" s="9" t="s">
        <v>2313</v>
      </c>
      <c r="U867" s="9" t="s">
        <v>2312</v>
      </c>
    </row>
    <row r="868" customFormat="false" ht="15" hidden="false" customHeight="false" outlineLevel="0" collapsed="false">
      <c r="A868" s="9"/>
      <c r="B868" s="9"/>
      <c r="C868" s="9"/>
      <c r="D868" s="9"/>
      <c r="E868" s="9"/>
      <c r="F868" s="9" t="s">
        <v>2309</v>
      </c>
      <c r="G868" s="10" t="s">
        <v>2314</v>
      </c>
      <c r="H868" s="9"/>
      <c r="I868" s="9" t="n">
        <v>2</v>
      </c>
      <c r="J868" s="9" t="n">
        <v>30</v>
      </c>
      <c r="K868" s="11" t="n">
        <v>0.323</v>
      </c>
      <c r="L868" s="11" t="n">
        <v>1</v>
      </c>
      <c r="M868" s="9" t="n">
        <v>0</v>
      </c>
      <c r="N868" s="11" t="n">
        <v>1</v>
      </c>
      <c r="O868" s="11" t="n">
        <v>0.7</v>
      </c>
      <c r="P868" s="12"/>
      <c r="Q868" s="12"/>
      <c r="R868" s="12"/>
      <c r="S868" s="12"/>
      <c r="T868" s="9" t="s">
        <v>2313</v>
      </c>
      <c r="U868" s="9" t="s">
        <v>2314</v>
      </c>
    </row>
    <row r="869" customFormat="false" ht="15" hidden="false" customHeight="false" outlineLevel="0" collapsed="false">
      <c r="A869" s="9"/>
      <c r="B869" s="9"/>
      <c r="C869" s="9"/>
      <c r="D869" s="9"/>
      <c r="E869" s="9"/>
      <c r="F869" s="9" t="s">
        <v>2315</v>
      </c>
      <c r="G869" s="10" t="s">
        <v>2316</v>
      </c>
      <c r="H869" s="9"/>
      <c r="I869" s="9" t="n">
        <v>1</v>
      </c>
      <c r="J869" s="9" t="n">
        <v>0</v>
      </c>
      <c r="K869" s="11" t="n">
        <v>0</v>
      </c>
      <c r="L869" s="11" t="n">
        <v>1</v>
      </c>
      <c r="M869" s="9" t="n">
        <v>0</v>
      </c>
      <c r="N869" s="11" t="n">
        <v>1</v>
      </c>
      <c r="O869" s="11" t="n">
        <v>0.6</v>
      </c>
      <c r="P869" s="12"/>
      <c r="Q869" s="12"/>
      <c r="R869" s="12"/>
      <c r="S869" s="12"/>
      <c r="T869" s="9" t="s">
        <v>2313</v>
      </c>
      <c r="U869" s="9" t="s">
        <v>2316</v>
      </c>
    </row>
    <row r="870" customFormat="false" ht="15" hidden="false" customHeight="false" outlineLevel="0" collapsed="false">
      <c r="A870" s="9"/>
      <c r="B870" s="9"/>
      <c r="C870" s="9"/>
      <c r="D870" s="9"/>
      <c r="E870" s="9"/>
      <c r="F870" s="9" t="s">
        <v>2317</v>
      </c>
      <c r="G870" s="10" t="s">
        <v>2318</v>
      </c>
      <c r="H870" s="9"/>
      <c r="I870" s="9" t="n">
        <v>2</v>
      </c>
      <c r="J870" s="9" t="n">
        <v>19</v>
      </c>
      <c r="K870" s="11" t="n">
        <v>0.204</v>
      </c>
      <c r="L870" s="11" t="n">
        <v>1</v>
      </c>
      <c r="M870" s="9" t="n">
        <v>0</v>
      </c>
      <c r="N870" s="11" t="n">
        <v>0</v>
      </c>
      <c r="O870" s="11" t="n">
        <v>0.55</v>
      </c>
      <c r="P870" s="12"/>
      <c r="Q870" s="12"/>
      <c r="R870" s="12"/>
      <c r="S870" s="12"/>
      <c r="T870" s="9" t="s">
        <v>2313</v>
      </c>
      <c r="U870" s="9" t="s">
        <v>2318</v>
      </c>
    </row>
    <row r="871" customFormat="false" ht="15" hidden="false" customHeight="false" outlineLevel="0" collapsed="false">
      <c r="A871" s="9"/>
      <c r="B871" s="9"/>
      <c r="C871" s="9"/>
      <c r="D871" s="9"/>
      <c r="E871" s="9"/>
      <c r="F871" s="9" t="s">
        <v>2319</v>
      </c>
      <c r="G871" s="10" t="s">
        <v>2320</v>
      </c>
      <c r="H871" s="9"/>
      <c r="I871" s="9" t="n">
        <v>1</v>
      </c>
      <c r="J871" s="9" t="n">
        <v>11</v>
      </c>
      <c r="K871" s="11" t="n">
        <v>0.118</v>
      </c>
      <c r="L871" s="11" t="n">
        <v>1</v>
      </c>
      <c r="M871" s="9" t="n">
        <v>0</v>
      </c>
      <c r="N871" s="11" t="n">
        <v>0</v>
      </c>
      <c r="O871" s="11" t="n">
        <v>0.55</v>
      </c>
      <c r="P871" s="12"/>
      <c r="Q871" s="12"/>
      <c r="R871" s="12"/>
      <c r="S871" s="12"/>
      <c r="T871" s="9" t="s">
        <v>2313</v>
      </c>
      <c r="U871" s="9" t="s">
        <v>2320</v>
      </c>
    </row>
    <row r="872" customFormat="false" ht="15" hidden="false" customHeight="false" outlineLevel="0" collapsed="false">
      <c r="A872" s="7" t="s">
        <v>1820</v>
      </c>
      <c r="B872" s="7" t="s">
        <v>2321</v>
      </c>
      <c r="C872" s="8" t="s">
        <v>921</v>
      </c>
      <c r="D872" s="7" t="s">
        <v>2322</v>
      </c>
      <c r="E872" s="7" t="n">
        <v>102</v>
      </c>
      <c r="F872" s="9" t="s">
        <v>2321</v>
      </c>
      <c r="G872" s="10" t="s">
        <v>2323</v>
      </c>
      <c r="H872" s="9" t="s">
        <v>2324</v>
      </c>
      <c r="I872" s="9" t="n">
        <v>139</v>
      </c>
      <c r="J872" s="9" t="n">
        <v>6873</v>
      </c>
      <c r="K872" s="11" t="n">
        <v>67.382</v>
      </c>
      <c r="L872" s="11" t="n">
        <v>1</v>
      </c>
      <c r="M872" s="9" t="n">
        <v>1</v>
      </c>
      <c r="N872" s="11" t="n">
        <v>0.807</v>
      </c>
      <c r="O872" s="11" t="n">
        <v>0.871</v>
      </c>
      <c r="P872" s="12"/>
      <c r="Q872" s="12"/>
      <c r="R872" s="12"/>
      <c r="S872" s="12"/>
      <c r="T872" s="9" t="s">
        <v>2325</v>
      </c>
      <c r="U872" s="9" t="s">
        <v>2323</v>
      </c>
    </row>
    <row r="873" customFormat="false" ht="15" hidden="false" customHeight="false" outlineLevel="0" collapsed="false">
      <c r="A873" s="9"/>
      <c r="B873" s="9"/>
      <c r="C873" s="9"/>
      <c r="D873" s="9"/>
      <c r="E873" s="9"/>
      <c r="F873" s="9" t="s">
        <v>2321</v>
      </c>
      <c r="G873" s="10" t="s">
        <v>2326</v>
      </c>
      <c r="H873" s="9"/>
      <c r="I873" s="9" t="n">
        <v>94</v>
      </c>
      <c r="J873" s="9" t="n">
        <v>1145</v>
      </c>
      <c r="K873" s="11" t="n">
        <v>11.225</v>
      </c>
      <c r="L873" s="11" t="n">
        <v>1</v>
      </c>
      <c r="M873" s="9" t="n">
        <v>1</v>
      </c>
      <c r="N873" s="11" t="n">
        <v>0</v>
      </c>
      <c r="O873" s="11" t="n">
        <v>0.75</v>
      </c>
      <c r="P873" s="12"/>
      <c r="Q873" s="12"/>
      <c r="R873" s="12"/>
      <c r="S873" s="12"/>
      <c r="T873" s="9" t="s">
        <v>2325</v>
      </c>
      <c r="U873" s="9" t="s">
        <v>2326</v>
      </c>
    </row>
    <row r="874" customFormat="false" ht="15" hidden="false" customHeight="false" outlineLevel="0" collapsed="false">
      <c r="A874" s="9"/>
      <c r="B874" s="9"/>
      <c r="C874" s="9"/>
      <c r="D874" s="9"/>
      <c r="E874" s="9"/>
      <c r="F874" s="9" t="s">
        <v>2321</v>
      </c>
      <c r="G874" s="10" t="s">
        <v>2327</v>
      </c>
      <c r="H874" s="9" t="s">
        <v>2328</v>
      </c>
      <c r="I874" s="9" t="n">
        <v>3</v>
      </c>
      <c r="J874" s="9" t="n">
        <v>128</v>
      </c>
      <c r="K874" s="11" t="n">
        <v>1.255</v>
      </c>
      <c r="L874" s="11" t="n">
        <v>1</v>
      </c>
      <c r="M874" s="9" t="n">
        <v>0</v>
      </c>
      <c r="N874" s="11" t="n">
        <v>0.4</v>
      </c>
      <c r="O874" s="11" t="n">
        <v>0.61</v>
      </c>
      <c r="P874" s="12"/>
      <c r="Q874" s="12"/>
      <c r="R874" s="12"/>
      <c r="S874" s="12"/>
      <c r="T874" s="9" t="s">
        <v>2325</v>
      </c>
      <c r="U874" s="9" t="s">
        <v>2327</v>
      </c>
    </row>
    <row r="875" customFormat="false" ht="15" hidden="false" customHeight="false" outlineLevel="0" collapsed="false">
      <c r="A875" s="9"/>
      <c r="B875" s="9"/>
      <c r="C875" s="9"/>
      <c r="D875" s="9"/>
      <c r="E875" s="9"/>
      <c r="F875" s="9" t="s">
        <v>2329</v>
      </c>
      <c r="G875" s="10" t="s">
        <v>2330</v>
      </c>
      <c r="H875" s="9"/>
      <c r="I875" s="9" t="n">
        <v>24</v>
      </c>
      <c r="J875" s="9" t="n">
        <v>3382</v>
      </c>
      <c r="K875" s="11" t="n">
        <v>33.157</v>
      </c>
      <c r="L875" s="11" t="n">
        <v>1</v>
      </c>
      <c r="M875" s="9" t="n">
        <v>0</v>
      </c>
      <c r="N875" s="11" t="n">
        <v>1</v>
      </c>
      <c r="O875" s="11" t="n">
        <v>0.6</v>
      </c>
      <c r="P875" s="12"/>
      <c r="Q875" s="12"/>
      <c r="R875" s="12"/>
      <c r="S875" s="12"/>
      <c r="T875" s="9" t="s">
        <v>2325</v>
      </c>
      <c r="U875" s="9" t="s">
        <v>2330</v>
      </c>
    </row>
    <row r="876" customFormat="false" ht="15" hidden="false" customHeight="false" outlineLevel="0" collapsed="false">
      <c r="A876" s="9"/>
      <c r="B876" s="9"/>
      <c r="C876" s="9"/>
      <c r="D876" s="9"/>
      <c r="E876" s="9"/>
      <c r="F876" s="9" t="s">
        <v>2321</v>
      </c>
      <c r="G876" s="10" t="s">
        <v>2331</v>
      </c>
      <c r="H876" s="9" t="s">
        <v>2332</v>
      </c>
      <c r="I876" s="9" t="n">
        <v>93</v>
      </c>
      <c r="J876" s="9" t="n">
        <v>337</v>
      </c>
      <c r="K876" s="11" t="n">
        <v>3.304</v>
      </c>
      <c r="L876" s="11" t="n">
        <v>1</v>
      </c>
      <c r="M876" s="9" t="n">
        <v>0</v>
      </c>
      <c r="N876" s="11" t="n">
        <v>1</v>
      </c>
      <c r="O876" s="11" t="n">
        <v>0.6</v>
      </c>
      <c r="P876" s="12"/>
      <c r="Q876" s="12"/>
      <c r="R876" s="12"/>
      <c r="S876" s="12"/>
      <c r="T876" s="9" t="s">
        <v>2325</v>
      </c>
      <c r="U876" s="9" t="s">
        <v>2331</v>
      </c>
    </row>
    <row r="877" customFormat="false" ht="15" hidden="false" customHeight="false" outlineLevel="0" collapsed="false">
      <c r="A877" s="7" t="s">
        <v>1820</v>
      </c>
      <c r="B877" s="7" t="s">
        <v>2333</v>
      </c>
      <c r="C877" s="8" t="s">
        <v>333</v>
      </c>
      <c r="D877" s="7" t="s">
        <v>2334</v>
      </c>
      <c r="E877" s="7" t="n">
        <v>527</v>
      </c>
      <c r="F877" s="9" t="s">
        <v>2333</v>
      </c>
      <c r="G877" s="10" t="s">
        <v>2335</v>
      </c>
      <c r="H877" s="9" t="s">
        <v>333</v>
      </c>
      <c r="I877" s="9" t="n">
        <v>2</v>
      </c>
      <c r="J877" s="9" t="n">
        <v>1</v>
      </c>
      <c r="K877" s="11" t="n">
        <v>0.002</v>
      </c>
      <c r="L877" s="11" t="n">
        <v>1</v>
      </c>
      <c r="M877" s="9" t="n">
        <v>1</v>
      </c>
      <c r="N877" s="11" t="n">
        <v>1</v>
      </c>
      <c r="O877" s="11" t="n">
        <v>0.9</v>
      </c>
      <c r="P877" s="12"/>
      <c r="Q877" s="12"/>
      <c r="R877" s="12"/>
      <c r="S877" s="12"/>
      <c r="T877" s="9" t="s">
        <v>2336</v>
      </c>
      <c r="U877" s="9" t="s">
        <v>2335</v>
      </c>
    </row>
    <row r="878" customFormat="false" ht="15" hidden="false" customHeight="false" outlineLevel="0" collapsed="false">
      <c r="A878" s="9"/>
      <c r="B878" s="9"/>
      <c r="C878" s="9"/>
      <c r="D878" s="9"/>
      <c r="E878" s="9"/>
      <c r="F878" s="9" t="s">
        <v>2333</v>
      </c>
      <c r="G878" s="10" t="s">
        <v>2337</v>
      </c>
      <c r="H878" s="9" t="s">
        <v>839</v>
      </c>
      <c r="I878" s="9" t="n">
        <v>16</v>
      </c>
      <c r="J878" s="9" t="n">
        <v>152</v>
      </c>
      <c r="K878" s="11" t="n">
        <v>0.323</v>
      </c>
      <c r="L878" s="11" t="n">
        <v>1</v>
      </c>
      <c r="M878" s="9" t="n">
        <v>0</v>
      </c>
      <c r="N878" s="11" t="n">
        <v>1</v>
      </c>
      <c r="O878" s="11" t="n">
        <v>0.7</v>
      </c>
      <c r="P878" s="12"/>
      <c r="Q878" s="12"/>
      <c r="R878" s="12"/>
      <c r="S878" s="12"/>
      <c r="T878" s="9" t="s">
        <v>2336</v>
      </c>
      <c r="U878" s="9" t="s">
        <v>2337</v>
      </c>
    </row>
    <row r="879" customFormat="false" ht="15" hidden="false" customHeight="false" outlineLevel="0" collapsed="false">
      <c r="A879" s="9"/>
      <c r="B879" s="9"/>
      <c r="C879" s="9"/>
      <c r="D879" s="9"/>
      <c r="E879" s="9"/>
      <c r="F879" s="9" t="s">
        <v>2333</v>
      </c>
      <c r="G879" s="10" t="s">
        <v>2338</v>
      </c>
      <c r="H879" s="9"/>
      <c r="I879" s="9" t="n">
        <v>2</v>
      </c>
      <c r="J879" s="9" t="n">
        <v>0</v>
      </c>
      <c r="K879" s="11" t="n">
        <v>0</v>
      </c>
      <c r="L879" s="11" t="n">
        <v>1</v>
      </c>
      <c r="M879" s="9" t="n">
        <v>0</v>
      </c>
      <c r="N879" s="11" t="n">
        <v>1</v>
      </c>
      <c r="O879" s="11" t="n">
        <v>0.6</v>
      </c>
      <c r="P879" s="12"/>
      <c r="Q879" s="12"/>
      <c r="R879" s="12"/>
      <c r="S879" s="12"/>
      <c r="T879" s="9" t="s">
        <v>2336</v>
      </c>
      <c r="U879" s="9" t="s">
        <v>2338</v>
      </c>
    </row>
    <row r="880" customFormat="false" ht="15" hidden="false" customHeight="false" outlineLevel="0" collapsed="false">
      <c r="A880" s="9"/>
      <c r="B880" s="9"/>
      <c r="C880" s="9"/>
      <c r="D880" s="9"/>
      <c r="E880" s="9"/>
      <c r="F880" s="9" t="s">
        <v>2333</v>
      </c>
      <c r="G880" s="10" t="s">
        <v>2339</v>
      </c>
      <c r="H880" s="9"/>
      <c r="I880" s="9" t="n">
        <v>4</v>
      </c>
      <c r="J880" s="9" t="n">
        <v>1</v>
      </c>
      <c r="K880" s="11" t="n">
        <v>0.002</v>
      </c>
      <c r="L880" s="11" t="n">
        <v>1</v>
      </c>
      <c r="M880" s="9" t="n">
        <v>0</v>
      </c>
      <c r="N880" s="11" t="n">
        <v>0.714</v>
      </c>
      <c r="O880" s="11" t="n">
        <v>0.557</v>
      </c>
      <c r="P880" s="12"/>
      <c r="Q880" s="12"/>
      <c r="R880" s="12"/>
      <c r="S880" s="12"/>
      <c r="T880" s="9" t="s">
        <v>2336</v>
      </c>
      <c r="U880" s="9" t="s">
        <v>2339</v>
      </c>
    </row>
    <row r="881" customFormat="false" ht="15" hidden="false" customHeight="false" outlineLevel="0" collapsed="false">
      <c r="A881" s="9"/>
      <c r="B881" s="9"/>
      <c r="C881" s="9"/>
      <c r="D881" s="9"/>
      <c r="E881" s="9"/>
      <c r="F881" s="9" t="s">
        <v>2340</v>
      </c>
      <c r="G881" s="10" t="s">
        <v>2341</v>
      </c>
      <c r="H881" s="9" t="s">
        <v>2342</v>
      </c>
      <c r="I881" s="9" t="n">
        <v>1</v>
      </c>
      <c r="J881" s="9" t="n">
        <v>25</v>
      </c>
      <c r="K881" s="11" t="n">
        <v>0.053</v>
      </c>
      <c r="L881" s="11" t="n">
        <v>1</v>
      </c>
      <c r="M881" s="9" t="n">
        <v>0</v>
      </c>
      <c r="N881" s="11" t="n">
        <v>0.333</v>
      </c>
      <c r="O881" s="11" t="n">
        <v>0.55</v>
      </c>
      <c r="P881" s="12"/>
      <c r="Q881" s="12"/>
      <c r="R881" s="12"/>
      <c r="S881" s="12"/>
      <c r="T881" s="9" t="s">
        <v>2336</v>
      </c>
      <c r="U881" s="9" t="s">
        <v>2341</v>
      </c>
    </row>
    <row r="882" customFormat="false" ht="15" hidden="false" customHeight="false" outlineLevel="0" collapsed="false">
      <c r="A882" s="7" t="s">
        <v>1820</v>
      </c>
      <c r="B882" s="7" t="s">
        <v>2343</v>
      </c>
      <c r="C882" s="8" t="s">
        <v>921</v>
      </c>
      <c r="D882" s="7" t="s">
        <v>2344</v>
      </c>
      <c r="E882" s="7" t="n">
        <v>2</v>
      </c>
      <c r="F882" s="9" t="s">
        <v>2343</v>
      </c>
      <c r="G882" s="10" t="s">
        <v>2345</v>
      </c>
      <c r="H882" s="9" t="s">
        <v>921</v>
      </c>
      <c r="I882" s="9" t="n">
        <v>4</v>
      </c>
      <c r="J882" s="9" t="n">
        <v>4</v>
      </c>
      <c r="K882" s="11" t="n">
        <v>2</v>
      </c>
      <c r="L882" s="11" t="n">
        <v>1</v>
      </c>
      <c r="M882" s="9" t="n">
        <v>1</v>
      </c>
      <c r="N882" s="11" t="n">
        <v>0.857</v>
      </c>
      <c r="O882" s="11" t="n">
        <v>0.929</v>
      </c>
      <c r="P882" s="12"/>
      <c r="Q882" s="12"/>
      <c r="R882" s="12"/>
      <c r="S882" s="12"/>
      <c r="T882" s="9" t="s">
        <v>2346</v>
      </c>
      <c r="U882" s="9" t="s">
        <v>2345</v>
      </c>
    </row>
    <row r="883" customFormat="false" ht="15" hidden="false" customHeight="false" outlineLevel="0" collapsed="false">
      <c r="A883" s="9"/>
      <c r="B883" s="9"/>
      <c r="C883" s="9"/>
      <c r="D883" s="9"/>
      <c r="E883" s="9"/>
      <c r="F883" s="9" t="s">
        <v>2343</v>
      </c>
      <c r="G883" s="10" t="s">
        <v>2347</v>
      </c>
      <c r="H883" s="9"/>
      <c r="I883" s="9" t="n">
        <v>1</v>
      </c>
      <c r="J883" s="9" t="n">
        <v>0</v>
      </c>
      <c r="K883" s="11" t="n">
        <v>0</v>
      </c>
      <c r="L883" s="11" t="n">
        <v>1</v>
      </c>
      <c r="M883" s="9" t="n">
        <v>0</v>
      </c>
      <c r="N883" s="11" t="n">
        <v>0</v>
      </c>
      <c r="O883" s="11" t="n">
        <v>0.45</v>
      </c>
      <c r="P883" s="12"/>
      <c r="Q883" s="12"/>
      <c r="R883" s="12"/>
      <c r="S883" s="12"/>
      <c r="T883" s="9" t="s">
        <v>2346</v>
      </c>
      <c r="U883" s="9" t="s">
        <v>2347</v>
      </c>
    </row>
    <row r="884" customFormat="false" ht="15" hidden="false" customHeight="false" outlineLevel="0" collapsed="false">
      <c r="A884" s="7" t="s">
        <v>1820</v>
      </c>
      <c r="B884" s="7" t="s">
        <v>2348</v>
      </c>
      <c r="C884" s="8" t="s">
        <v>81</v>
      </c>
      <c r="D884" s="7" t="s">
        <v>2349</v>
      </c>
      <c r="E884" s="7" t="n">
        <v>1081</v>
      </c>
      <c r="F884" s="9" t="s">
        <v>2348</v>
      </c>
      <c r="G884" s="10" t="s">
        <v>2350</v>
      </c>
      <c r="H884" s="9" t="s">
        <v>81</v>
      </c>
      <c r="I884" s="9" t="n">
        <v>69</v>
      </c>
      <c r="J884" s="9" t="n">
        <v>5725</v>
      </c>
      <c r="K884" s="11" t="n">
        <v>5.783</v>
      </c>
      <c r="L884" s="11" t="n">
        <v>1</v>
      </c>
      <c r="M884" s="9" t="n">
        <v>1</v>
      </c>
      <c r="N884" s="11" t="n">
        <v>1</v>
      </c>
      <c r="O884" s="11" t="n">
        <v>0.9</v>
      </c>
      <c r="P884" s="12"/>
      <c r="Q884" s="12"/>
      <c r="R884" s="12"/>
      <c r="S884" s="12"/>
      <c r="T884" s="9" t="s">
        <v>2351</v>
      </c>
      <c r="U884" s="9" t="s">
        <v>2350</v>
      </c>
    </row>
    <row r="885" customFormat="false" ht="15" hidden="false" customHeight="false" outlineLevel="0" collapsed="false">
      <c r="A885" s="9"/>
      <c r="B885" s="9"/>
      <c r="C885" s="9"/>
      <c r="D885" s="9"/>
      <c r="E885" s="9"/>
      <c r="F885" s="9" t="s">
        <v>2352</v>
      </c>
      <c r="G885" s="10" t="s">
        <v>2353</v>
      </c>
      <c r="H885" s="9"/>
      <c r="I885" s="9" t="n">
        <v>152</v>
      </c>
      <c r="J885" s="9" t="n">
        <v>2306</v>
      </c>
      <c r="K885" s="11" t="n">
        <v>2.329</v>
      </c>
      <c r="L885" s="11" t="n">
        <v>1</v>
      </c>
      <c r="M885" s="9" t="n">
        <v>0.5</v>
      </c>
      <c r="N885" s="11" t="n">
        <v>1</v>
      </c>
      <c r="O885" s="11" t="n">
        <v>0.8</v>
      </c>
      <c r="P885" s="12"/>
      <c r="Q885" s="12"/>
      <c r="R885" s="12"/>
      <c r="S885" s="12"/>
      <c r="T885" s="9" t="s">
        <v>2351</v>
      </c>
      <c r="U885" s="9" t="s">
        <v>2353</v>
      </c>
    </row>
    <row r="886" customFormat="false" ht="15" hidden="false" customHeight="false" outlineLevel="0" collapsed="false">
      <c r="A886" s="9"/>
      <c r="B886" s="9"/>
      <c r="C886" s="9"/>
      <c r="D886" s="9"/>
      <c r="E886" s="9"/>
      <c r="F886" s="9" t="s">
        <v>2352</v>
      </c>
      <c r="G886" s="10" t="s">
        <v>2354</v>
      </c>
      <c r="H886" s="9" t="s">
        <v>2355</v>
      </c>
      <c r="I886" s="9" t="n">
        <v>30</v>
      </c>
      <c r="J886" s="9" t="n">
        <v>510</v>
      </c>
      <c r="K886" s="11" t="n">
        <v>0.515</v>
      </c>
      <c r="L886" s="11" t="n">
        <v>1</v>
      </c>
      <c r="M886" s="9" t="n">
        <v>0.5</v>
      </c>
      <c r="N886" s="11" t="n">
        <v>0.346</v>
      </c>
      <c r="O886" s="11" t="n">
        <v>0.752</v>
      </c>
      <c r="P886" s="12"/>
      <c r="Q886" s="12"/>
      <c r="R886" s="12"/>
      <c r="S886" s="12"/>
      <c r="T886" s="9" t="s">
        <v>2351</v>
      </c>
      <c r="U886" s="9" t="s">
        <v>2354</v>
      </c>
    </row>
    <row r="887" customFormat="false" ht="15" hidden="false" customHeight="false" outlineLevel="0" collapsed="false">
      <c r="A887" s="9"/>
      <c r="B887" s="9"/>
      <c r="C887" s="9"/>
      <c r="D887" s="9"/>
      <c r="E887" s="9"/>
      <c r="F887" s="9" t="s">
        <v>2356</v>
      </c>
      <c r="G887" s="10" t="s">
        <v>2357</v>
      </c>
      <c r="H887" s="9"/>
      <c r="I887" s="9" t="n">
        <v>10</v>
      </c>
      <c r="J887" s="9" t="n">
        <v>1218</v>
      </c>
      <c r="K887" s="11" t="n">
        <v>1.23</v>
      </c>
      <c r="L887" s="11" t="n">
        <v>1</v>
      </c>
      <c r="M887" s="9" t="n">
        <v>0</v>
      </c>
      <c r="N887" s="11" t="n">
        <v>1</v>
      </c>
      <c r="O887" s="11" t="n">
        <v>0.7</v>
      </c>
      <c r="P887" s="12"/>
      <c r="Q887" s="12"/>
      <c r="R887" s="12"/>
      <c r="S887" s="12"/>
      <c r="T887" s="9" t="s">
        <v>2351</v>
      </c>
      <c r="U887" s="9" t="s">
        <v>2357</v>
      </c>
    </row>
    <row r="888" customFormat="false" ht="15" hidden="false" customHeight="false" outlineLevel="0" collapsed="false">
      <c r="A888" s="9"/>
      <c r="B888" s="9"/>
      <c r="C888" s="9"/>
      <c r="D888" s="9"/>
      <c r="E888" s="9"/>
      <c r="F888" s="9" t="s">
        <v>2358</v>
      </c>
      <c r="G888" s="10" t="s">
        <v>2359</v>
      </c>
      <c r="H888" s="9" t="s">
        <v>2360</v>
      </c>
      <c r="I888" s="9" t="n">
        <v>77</v>
      </c>
      <c r="J888" s="9" t="n">
        <v>863</v>
      </c>
      <c r="K888" s="11" t="n">
        <v>0.872</v>
      </c>
      <c r="L888" s="11" t="n">
        <v>1</v>
      </c>
      <c r="M888" s="9" t="n">
        <v>0.5</v>
      </c>
      <c r="N888" s="11" t="n">
        <v>0</v>
      </c>
      <c r="O888" s="11" t="n">
        <v>0.7</v>
      </c>
      <c r="P888" s="12"/>
      <c r="Q888" s="12"/>
      <c r="R888" s="12"/>
      <c r="S888" s="12"/>
      <c r="T888" s="9" t="s">
        <v>2351</v>
      </c>
      <c r="U888" s="9" t="s">
        <v>2359</v>
      </c>
    </row>
    <row r="889" customFormat="false" ht="15" hidden="false" customHeight="false" outlineLevel="0" collapsed="false">
      <c r="A889" s="7" t="s">
        <v>1820</v>
      </c>
      <c r="B889" s="7" t="s">
        <v>2361</v>
      </c>
      <c r="C889" s="8" t="s">
        <v>2362</v>
      </c>
      <c r="D889" s="7" t="s">
        <v>2363</v>
      </c>
      <c r="E889" s="7" t="n">
        <v>7194</v>
      </c>
      <c r="F889" s="9" t="s">
        <v>2361</v>
      </c>
      <c r="G889" s="10" t="s">
        <v>2364</v>
      </c>
      <c r="H889" s="9" t="s">
        <v>2365</v>
      </c>
      <c r="I889" s="9" t="n">
        <v>11</v>
      </c>
      <c r="J889" s="9" t="n">
        <v>285</v>
      </c>
      <c r="K889" s="11" t="n">
        <v>0.043</v>
      </c>
      <c r="L889" s="11" t="n">
        <v>1</v>
      </c>
      <c r="M889" s="9" t="n">
        <v>1</v>
      </c>
      <c r="N889" s="11" t="n">
        <v>0.867</v>
      </c>
      <c r="O889" s="11" t="n">
        <v>0.93</v>
      </c>
      <c r="P889" s="12"/>
      <c r="Q889" s="12"/>
      <c r="R889" s="12"/>
      <c r="S889" s="12"/>
      <c r="T889" s="9" t="s">
        <v>2366</v>
      </c>
      <c r="U889" s="9" t="s">
        <v>2364</v>
      </c>
    </row>
    <row r="890" customFormat="false" ht="15" hidden="false" customHeight="false" outlineLevel="0" collapsed="false">
      <c r="A890" s="9"/>
      <c r="B890" s="9"/>
      <c r="C890" s="9"/>
      <c r="D890" s="9"/>
      <c r="E890" s="9"/>
      <c r="F890" s="9" t="s">
        <v>2361</v>
      </c>
      <c r="G890" s="10" t="s">
        <v>2367</v>
      </c>
      <c r="H890" s="9" t="s">
        <v>2365</v>
      </c>
      <c r="I890" s="9" t="n">
        <v>1</v>
      </c>
      <c r="J890" s="9" t="n">
        <v>0</v>
      </c>
      <c r="K890" s="11" t="n">
        <v>0</v>
      </c>
      <c r="L890" s="11" t="n">
        <v>1</v>
      </c>
      <c r="M890" s="9" t="n">
        <v>1</v>
      </c>
      <c r="N890" s="11" t="n">
        <v>1</v>
      </c>
      <c r="O890" s="11" t="n">
        <v>0.9</v>
      </c>
      <c r="P890" s="12"/>
      <c r="Q890" s="12"/>
      <c r="R890" s="12"/>
      <c r="S890" s="12"/>
      <c r="T890" s="9" t="s">
        <v>2366</v>
      </c>
      <c r="U890" s="9" t="s">
        <v>2367</v>
      </c>
    </row>
    <row r="891" customFormat="false" ht="15" hidden="false" customHeight="false" outlineLevel="0" collapsed="false">
      <c r="A891" s="9"/>
      <c r="B891" s="9"/>
      <c r="C891" s="9"/>
      <c r="D891" s="9"/>
      <c r="E891" s="9"/>
      <c r="F891" s="9" t="s">
        <v>2361</v>
      </c>
      <c r="G891" s="10" t="s">
        <v>2368</v>
      </c>
      <c r="H891" s="9" t="s">
        <v>2365</v>
      </c>
      <c r="I891" s="9" t="n">
        <v>1</v>
      </c>
      <c r="J891" s="9" t="n">
        <v>0</v>
      </c>
      <c r="K891" s="11" t="n">
        <v>0</v>
      </c>
      <c r="L891" s="11" t="n">
        <v>1</v>
      </c>
      <c r="M891" s="9" t="n">
        <v>1</v>
      </c>
      <c r="N891" s="11" t="n">
        <v>1</v>
      </c>
      <c r="O891" s="11" t="n">
        <v>0.9</v>
      </c>
      <c r="P891" s="12"/>
      <c r="Q891" s="12"/>
      <c r="R891" s="12"/>
      <c r="S891" s="12"/>
      <c r="T891" s="9" t="s">
        <v>2366</v>
      </c>
      <c r="U891" s="9" t="s">
        <v>2368</v>
      </c>
    </row>
    <row r="892" customFormat="false" ht="15" hidden="false" customHeight="false" outlineLevel="0" collapsed="false">
      <c r="A892" s="9"/>
      <c r="B892" s="9"/>
      <c r="C892" s="9"/>
      <c r="D892" s="9"/>
      <c r="E892" s="9"/>
      <c r="F892" s="9" t="s">
        <v>2361</v>
      </c>
      <c r="G892" s="10" t="s">
        <v>2369</v>
      </c>
      <c r="H892" s="9" t="s">
        <v>2365</v>
      </c>
      <c r="I892" s="9" t="n">
        <v>279</v>
      </c>
      <c r="J892" s="9" t="n">
        <v>8722</v>
      </c>
      <c r="K892" s="11" t="n">
        <v>1.315</v>
      </c>
      <c r="L892" s="11" t="n">
        <v>1</v>
      </c>
      <c r="M892" s="9" t="n">
        <v>1</v>
      </c>
      <c r="N892" s="11" t="n">
        <v>0.33</v>
      </c>
      <c r="O892" s="11" t="n">
        <v>0.899</v>
      </c>
      <c r="P892" s="12"/>
      <c r="Q892" s="12"/>
      <c r="R892" s="12"/>
      <c r="S892" s="12"/>
      <c r="T892" s="9" t="s">
        <v>2366</v>
      </c>
      <c r="U892" s="9" t="s">
        <v>2369</v>
      </c>
    </row>
    <row r="893" customFormat="false" ht="15" hidden="false" customHeight="false" outlineLevel="0" collapsed="false">
      <c r="A893" s="9"/>
      <c r="B893" s="9"/>
      <c r="C893" s="9"/>
      <c r="D893" s="9"/>
      <c r="E893" s="9"/>
      <c r="F893" s="9" t="s">
        <v>2361</v>
      </c>
      <c r="G893" s="10" t="s">
        <v>2370</v>
      </c>
      <c r="H893" s="9" t="s">
        <v>2365</v>
      </c>
      <c r="I893" s="9" t="n">
        <v>2</v>
      </c>
      <c r="J893" s="9" t="n">
        <v>0</v>
      </c>
      <c r="K893" s="11" t="n">
        <v>0</v>
      </c>
      <c r="L893" s="11" t="n">
        <v>1</v>
      </c>
      <c r="M893" s="9" t="n">
        <v>1</v>
      </c>
      <c r="N893" s="11" t="n">
        <v>0.5</v>
      </c>
      <c r="O893" s="11" t="n">
        <v>0.825</v>
      </c>
      <c r="P893" s="12"/>
      <c r="Q893" s="12"/>
      <c r="R893" s="12"/>
      <c r="S893" s="12"/>
      <c r="T893" s="9" t="s">
        <v>2366</v>
      </c>
      <c r="U893" s="9" t="s">
        <v>2370</v>
      </c>
    </row>
    <row r="894" customFormat="false" ht="15" hidden="false" customHeight="false" outlineLevel="0" collapsed="false">
      <c r="A894" s="7" t="s">
        <v>1820</v>
      </c>
      <c r="B894" s="7" t="s">
        <v>2371</v>
      </c>
      <c r="C894" s="8" t="s">
        <v>345</v>
      </c>
      <c r="D894" s="7" t="s">
        <v>2372</v>
      </c>
      <c r="E894" s="7" t="n">
        <v>708</v>
      </c>
      <c r="F894" s="9" t="s">
        <v>2373</v>
      </c>
      <c r="G894" s="10" t="s">
        <v>2374</v>
      </c>
      <c r="H894" s="9"/>
      <c r="I894" s="9" t="n">
        <v>36</v>
      </c>
      <c r="J894" s="9" t="n">
        <v>1079</v>
      </c>
      <c r="K894" s="11" t="n">
        <v>1.524</v>
      </c>
      <c r="L894" s="11" t="n">
        <v>1</v>
      </c>
      <c r="M894" s="9" t="n">
        <v>1</v>
      </c>
      <c r="N894" s="11" t="n">
        <v>0.55</v>
      </c>
      <c r="O894" s="11" t="n">
        <v>0.883</v>
      </c>
      <c r="P894" s="12"/>
      <c r="Q894" s="12"/>
      <c r="R894" s="12"/>
      <c r="S894" s="12"/>
      <c r="T894" s="9" t="s">
        <v>2375</v>
      </c>
      <c r="U894" s="9" t="s">
        <v>2374</v>
      </c>
    </row>
    <row r="895" customFormat="false" ht="15" hidden="false" customHeight="false" outlineLevel="0" collapsed="false">
      <c r="A895" s="9"/>
      <c r="B895" s="9"/>
      <c r="C895" s="9"/>
      <c r="D895" s="9"/>
      <c r="E895" s="9"/>
      <c r="F895" s="9" t="s">
        <v>2376</v>
      </c>
      <c r="G895" s="10" t="s">
        <v>2377</v>
      </c>
      <c r="H895" s="9"/>
      <c r="I895" s="9" t="n">
        <v>18</v>
      </c>
      <c r="J895" s="9" t="n">
        <v>187</v>
      </c>
      <c r="K895" s="11" t="n">
        <v>0.264</v>
      </c>
      <c r="L895" s="11" t="n">
        <v>1</v>
      </c>
      <c r="M895" s="9" t="n">
        <v>0.5</v>
      </c>
      <c r="N895" s="11" t="n">
        <v>1</v>
      </c>
      <c r="O895" s="11" t="n">
        <v>0.85</v>
      </c>
      <c r="P895" s="12"/>
      <c r="Q895" s="12"/>
      <c r="R895" s="12"/>
      <c r="S895" s="12"/>
      <c r="T895" s="9" t="s">
        <v>2375</v>
      </c>
      <c r="U895" s="9" t="s">
        <v>2377</v>
      </c>
    </row>
    <row r="896" customFormat="false" ht="15" hidden="false" customHeight="false" outlineLevel="0" collapsed="false">
      <c r="A896" s="9"/>
      <c r="B896" s="9"/>
      <c r="C896" s="9"/>
      <c r="D896" s="9"/>
      <c r="E896" s="9"/>
      <c r="F896" s="9" t="s">
        <v>2378</v>
      </c>
      <c r="G896" s="10" t="s">
        <v>2379</v>
      </c>
      <c r="H896" s="9" t="s">
        <v>2380</v>
      </c>
      <c r="I896" s="9" t="n">
        <v>20</v>
      </c>
      <c r="J896" s="9" t="n">
        <v>553</v>
      </c>
      <c r="K896" s="11" t="n">
        <v>0.781</v>
      </c>
      <c r="L896" s="11" t="n">
        <v>1</v>
      </c>
      <c r="M896" s="9" t="n">
        <v>0.5</v>
      </c>
      <c r="N896" s="11" t="n">
        <v>0.842</v>
      </c>
      <c r="O896" s="11" t="n">
        <v>0.826</v>
      </c>
      <c r="P896" s="12"/>
      <c r="Q896" s="12"/>
      <c r="R896" s="12"/>
      <c r="S896" s="12"/>
      <c r="T896" s="9" t="s">
        <v>2375</v>
      </c>
      <c r="U896" s="9" t="s">
        <v>2379</v>
      </c>
    </row>
    <row r="897" customFormat="false" ht="15" hidden="false" customHeight="false" outlineLevel="0" collapsed="false">
      <c r="A897" s="9"/>
      <c r="B897" s="9"/>
      <c r="C897" s="9"/>
      <c r="D897" s="9"/>
      <c r="E897" s="9"/>
      <c r="F897" s="9" t="s">
        <v>2371</v>
      </c>
      <c r="G897" s="10" t="s">
        <v>2381</v>
      </c>
      <c r="H897" s="9" t="s">
        <v>2382</v>
      </c>
      <c r="I897" s="9" t="n">
        <v>34</v>
      </c>
      <c r="J897" s="9" t="n">
        <v>2007</v>
      </c>
      <c r="K897" s="11" t="n">
        <v>2.835</v>
      </c>
      <c r="L897" s="11" t="n">
        <v>1</v>
      </c>
      <c r="M897" s="9" t="n">
        <v>0.5</v>
      </c>
      <c r="N897" s="11" t="n">
        <v>0.824</v>
      </c>
      <c r="O897" s="11" t="n">
        <v>0.774</v>
      </c>
      <c r="P897" s="12"/>
      <c r="Q897" s="12"/>
      <c r="R897" s="12"/>
      <c r="S897" s="12"/>
      <c r="T897" s="9" t="s">
        <v>2375</v>
      </c>
      <c r="U897" s="9" t="s">
        <v>2381</v>
      </c>
    </row>
    <row r="898" customFormat="false" ht="15" hidden="false" customHeight="false" outlineLevel="0" collapsed="false">
      <c r="A898" s="9"/>
      <c r="B898" s="9"/>
      <c r="C898" s="9"/>
      <c r="D898" s="9"/>
      <c r="E898" s="9"/>
      <c r="F898" s="9" t="s">
        <v>2383</v>
      </c>
      <c r="G898" s="10" t="s">
        <v>2384</v>
      </c>
      <c r="H898" s="9" t="s">
        <v>2385</v>
      </c>
      <c r="I898" s="9" t="n">
        <v>9</v>
      </c>
      <c r="J898" s="9" t="n">
        <v>232</v>
      </c>
      <c r="K898" s="11" t="n">
        <v>0.328</v>
      </c>
      <c r="L898" s="11" t="n">
        <v>1</v>
      </c>
      <c r="M898" s="9" t="n">
        <v>0.5</v>
      </c>
      <c r="N898" s="11" t="n">
        <v>0.364</v>
      </c>
      <c r="O898" s="11" t="n">
        <v>0.755</v>
      </c>
      <c r="P898" s="12"/>
      <c r="Q898" s="12"/>
      <c r="R898" s="12"/>
      <c r="S898" s="12"/>
      <c r="T898" s="9" t="s">
        <v>2375</v>
      </c>
      <c r="U898" s="9" t="s">
        <v>2384</v>
      </c>
    </row>
    <row r="899" customFormat="false" ht="15" hidden="false" customHeight="false" outlineLevel="0" collapsed="false">
      <c r="A899" s="7" t="s">
        <v>1820</v>
      </c>
      <c r="B899" s="7" t="s">
        <v>2386</v>
      </c>
      <c r="C899" s="8" t="s">
        <v>1796</v>
      </c>
      <c r="D899" s="7" t="s">
        <v>2387</v>
      </c>
      <c r="E899" s="7" t="n">
        <v>15</v>
      </c>
      <c r="F899" s="9" t="s">
        <v>2386</v>
      </c>
      <c r="G899" s="10" t="s">
        <v>2388</v>
      </c>
      <c r="H899" s="9" t="s">
        <v>1796</v>
      </c>
      <c r="I899" s="9" t="n">
        <v>1</v>
      </c>
      <c r="J899" s="9" t="n">
        <v>0</v>
      </c>
      <c r="K899" s="11" t="n">
        <v>0</v>
      </c>
      <c r="L899" s="11" t="n">
        <v>1</v>
      </c>
      <c r="M899" s="9" t="n">
        <v>1</v>
      </c>
      <c r="N899" s="11" t="n">
        <v>1</v>
      </c>
      <c r="O899" s="11" t="n">
        <v>0.9</v>
      </c>
      <c r="P899" s="12"/>
      <c r="Q899" s="12"/>
      <c r="R899" s="12"/>
      <c r="S899" s="12"/>
      <c r="T899" s="9" t="s">
        <v>2389</v>
      </c>
      <c r="U899" s="9" t="s">
        <v>2388</v>
      </c>
    </row>
    <row r="900" customFormat="false" ht="15" hidden="false" customHeight="false" outlineLevel="0" collapsed="false">
      <c r="A900" s="7" t="s">
        <v>1820</v>
      </c>
      <c r="B900" s="7" t="s">
        <v>2390</v>
      </c>
      <c r="C900" s="8" t="s">
        <v>92</v>
      </c>
      <c r="D900" s="7" t="s">
        <v>2391</v>
      </c>
      <c r="E900" s="7" t="n">
        <v>24</v>
      </c>
      <c r="F900" s="9" t="s">
        <v>2390</v>
      </c>
      <c r="G900" s="10" t="s">
        <v>2392</v>
      </c>
      <c r="H900" s="9" t="s">
        <v>95</v>
      </c>
      <c r="I900" s="9" t="n">
        <v>1</v>
      </c>
      <c r="J900" s="9" t="n">
        <v>1</v>
      </c>
      <c r="K900" s="11" t="n">
        <v>0.042</v>
      </c>
      <c r="L900" s="11" t="n">
        <v>1</v>
      </c>
      <c r="M900" s="9" t="n">
        <v>1</v>
      </c>
      <c r="N900" s="11" t="n">
        <v>1</v>
      </c>
      <c r="O900" s="11" t="n">
        <v>0.95</v>
      </c>
      <c r="P900" s="12"/>
      <c r="Q900" s="12"/>
      <c r="R900" s="12"/>
      <c r="S900" s="12"/>
      <c r="T900" s="9" t="s">
        <v>2393</v>
      </c>
      <c r="U900" s="9" t="s">
        <v>2392</v>
      </c>
    </row>
    <row r="901" customFormat="false" ht="15" hidden="false" customHeight="false" outlineLevel="0" collapsed="false">
      <c r="A901" s="9"/>
      <c r="B901" s="9"/>
      <c r="C901" s="9"/>
      <c r="D901" s="9"/>
      <c r="E901" s="9"/>
      <c r="F901" s="9" t="s">
        <v>2394</v>
      </c>
      <c r="G901" s="10" t="s">
        <v>2395</v>
      </c>
      <c r="H901" s="9"/>
      <c r="I901" s="9" t="n">
        <v>1</v>
      </c>
      <c r="J901" s="9" t="n">
        <v>11</v>
      </c>
      <c r="K901" s="11" t="n">
        <v>0.458</v>
      </c>
      <c r="L901" s="11" t="n">
        <v>1</v>
      </c>
      <c r="M901" s="9" t="n">
        <v>0</v>
      </c>
      <c r="N901" s="11" t="n">
        <v>1</v>
      </c>
      <c r="O901" s="11" t="n">
        <v>0.7</v>
      </c>
      <c r="P901" s="12"/>
      <c r="Q901" s="12"/>
      <c r="R901" s="12"/>
      <c r="S901" s="12"/>
      <c r="T901" s="9" t="s">
        <v>2393</v>
      </c>
      <c r="U901" s="9" t="s">
        <v>2395</v>
      </c>
    </row>
    <row r="902" customFormat="false" ht="15" hidden="false" customHeight="false" outlineLevel="0" collapsed="false">
      <c r="A902" s="9"/>
      <c r="B902" s="9"/>
      <c r="C902" s="9"/>
      <c r="D902" s="9"/>
      <c r="E902" s="9"/>
      <c r="F902" s="9" t="s">
        <v>2390</v>
      </c>
      <c r="G902" s="10" t="s">
        <v>2396</v>
      </c>
      <c r="H902" s="9"/>
      <c r="I902" s="9" t="n">
        <v>1</v>
      </c>
      <c r="J902" s="9" t="n">
        <v>0</v>
      </c>
      <c r="K902" s="11" t="n">
        <v>0</v>
      </c>
      <c r="L902" s="11" t="n">
        <v>1</v>
      </c>
      <c r="M902" s="9" t="n">
        <v>0</v>
      </c>
      <c r="N902" s="11" t="n">
        <v>1</v>
      </c>
      <c r="O902" s="11" t="n">
        <v>0.6</v>
      </c>
      <c r="P902" s="12"/>
      <c r="Q902" s="12"/>
      <c r="R902" s="12"/>
      <c r="S902" s="12"/>
      <c r="T902" s="9" t="s">
        <v>2393</v>
      </c>
      <c r="U902" s="9" t="s">
        <v>2396</v>
      </c>
    </row>
    <row r="903" customFormat="false" ht="15" hidden="false" customHeight="false" outlineLevel="0" collapsed="false">
      <c r="A903" s="9"/>
      <c r="B903" s="9"/>
      <c r="C903" s="9"/>
      <c r="D903" s="9"/>
      <c r="E903" s="9"/>
      <c r="F903" s="9" t="s">
        <v>2397</v>
      </c>
      <c r="G903" s="10" t="s">
        <v>2398</v>
      </c>
      <c r="H903" s="9"/>
      <c r="I903" s="9" t="n">
        <v>1</v>
      </c>
      <c r="J903" s="9" t="n">
        <v>0</v>
      </c>
      <c r="K903" s="11" t="n">
        <v>0</v>
      </c>
      <c r="L903" s="11" t="n">
        <v>1</v>
      </c>
      <c r="M903" s="9" t="n">
        <v>0</v>
      </c>
      <c r="N903" s="11" t="n">
        <v>1</v>
      </c>
      <c r="O903" s="11" t="n">
        <v>0.6</v>
      </c>
      <c r="P903" s="12"/>
      <c r="Q903" s="12"/>
      <c r="R903" s="12"/>
      <c r="S903" s="12"/>
      <c r="T903" s="9" t="s">
        <v>2393</v>
      </c>
      <c r="U903" s="9" t="s">
        <v>2398</v>
      </c>
    </row>
    <row r="904" customFormat="false" ht="15" hidden="false" customHeight="false" outlineLevel="0" collapsed="false">
      <c r="A904" s="7" t="s">
        <v>1820</v>
      </c>
      <c r="B904" s="7" t="s">
        <v>2399</v>
      </c>
      <c r="C904" s="8" t="s">
        <v>372</v>
      </c>
      <c r="D904" s="7" t="s">
        <v>2400</v>
      </c>
      <c r="E904" s="7" t="n">
        <v>2416</v>
      </c>
      <c r="F904" s="9" t="s">
        <v>2399</v>
      </c>
      <c r="G904" s="10" t="s">
        <v>2401</v>
      </c>
      <c r="H904" s="9" t="s">
        <v>2402</v>
      </c>
      <c r="I904" s="9" t="n">
        <v>511</v>
      </c>
      <c r="J904" s="9" t="n">
        <v>16050</v>
      </c>
      <c r="K904" s="11" t="n">
        <v>7.504</v>
      </c>
      <c r="L904" s="11" t="n">
        <v>1</v>
      </c>
      <c r="M904" s="9" t="n">
        <v>1</v>
      </c>
      <c r="N904" s="11" t="n">
        <v>0.68</v>
      </c>
      <c r="O904" s="11" t="n">
        <v>0.852</v>
      </c>
      <c r="P904" s="12"/>
      <c r="Q904" s="12"/>
      <c r="R904" s="12"/>
      <c r="S904" s="12"/>
      <c r="T904" s="9" t="s">
        <v>2403</v>
      </c>
      <c r="U904" s="9" t="s">
        <v>2401</v>
      </c>
    </row>
    <row r="905" customFormat="false" ht="15" hidden="false" customHeight="false" outlineLevel="0" collapsed="false">
      <c r="A905" s="9"/>
      <c r="B905" s="9"/>
      <c r="C905" s="9"/>
      <c r="D905" s="9"/>
      <c r="E905" s="9"/>
      <c r="F905" s="9" t="s">
        <v>2399</v>
      </c>
      <c r="G905" s="10" t="s">
        <v>2404</v>
      </c>
      <c r="H905" s="9" t="s">
        <v>1272</v>
      </c>
      <c r="I905" s="9" t="n">
        <v>697</v>
      </c>
      <c r="J905" s="9" t="n">
        <v>19935</v>
      </c>
      <c r="K905" s="11" t="n">
        <v>9.32</v>
      </c>
      <c r="L905" s="11" t="n">
        <v>1</v>
      </c>
      <c r="M905" s="9" t="n">
        <v>1</v>
      </c>
      <c r="N905" s="11" t="n">
        <v>0.644</v>
      </c>
      <c r="O905" s="11" t="n">
        <v>0.847</v>
      </c>
      <c r="P905" s="12"/>
      <c r="Q905" s="12"/>
      <c r="R905" s="12"/>
      <c r="S905" s="12"/>
      <c r="T905" s="9" t="s">
        <v>2403</v>
      </c>
      <c r="U905" s="9" t="s">
        <v>2404</v>
      </c>
    </row>
    <row r="906" customFormat="false" ht="15" hidden="false" customHeight="false" outlineLevel="0" collapsed="false">
      <c r="A906" s="9"/>
      <c r="B906" s="9"/>
      <c r="C906" s="9"/>
      <c r="D906" s="9"/>
      <c r="E906" s="9"/>
      <c r="F906" s="9" t="s">
        <v>2399</v>
      </c>
      <c r="G906" s="10" t="s">
        <v>2405</v>
      </c>
      <c r="H906" s="9" t="s">
        <v>2406</v>
      </c>
      <c r="I906" s="9" t="n">
        <v>520</v>
      </c>
      <c r="J906" s="9" t="n">
        <v>16557</v>
      </c>
      <c r="K906" s="11" t="n">
        <v>7.741</v>
      </c>
      <c r="L906" s="11" t="n">
        <v>1</v>
      </c>
      <c r="M906" s="9" t="n">
        <v>1</v>
      </c>
      <c r="N906" s="11" t="n">
        <v>0.415</v>
      </c>
      <c r="O906" s="11" t="n">
        <v>0.812</v>
      </c>
      <c r="P906" s="12"/>
      <c r="Q906" s="12"/>
      <c r="R906" s="12"/>
      <c r="S906" s="12"/>
      <c r="T906" s="9" t="s">
        <v>2403</v>
      </c>
      <c r="U906" s="9" t="s">
        <v>2405</v>
      </c>
    </row>
    <row r="907" customFormat="false" ht="15" hidden="false" customHeight="false" outlineLevel="0" collapsed="false">
      <c r="A907" s="9"/>
      <c r="B907" s="9"/>
      <c r="C907" s="9"/>
      <c r="D907" s="9"/>
      <c r="E907" s="9"/>
      <c r="F907" s="9" t="s">
        <v>2399</v>
      </c>
      <c r="G907" s="10" t="s">
        <v>2407</v>
      </c>
      <c r="H907" s="9" t="s">
        <v>538</v>
      </c>
      <c r="I907" s="9" t="n">
        <v>1925</v>
      </c>
      <c r="J907" s="9" t="n">
        <v>28758</v>
      </c>
      <c r="K907" s="11" t="n">
        <v>13.445</v>
      </c>
      <c r="L907" s="11" t="n">
        <v>1</v>
      </c>
      <c r="M907" s="9" t="n">
        <v>1</v>
      </c>
      <c r="N907" s="11" t="n">
        <v>0.176</v>
      </c>
      <c r="O907" s="11" t="n">
        <v>0.776</v>
      </c>
      <c r="P907" s="12"/>
      <c r="Q907" s="12"/>
      <c r="R907" s="12"/>
      <c r="S907" s="12"/>
      <c r="T907" s="9" t="s">
        <v>2403</v>
      </c>
      <c r="U907" s="9" t="s">
        <v>2407</v>
      </c>
    </row>
    <row r="908" customFormat="false" ht="15" hidden="false" customHeight="false" outlineLevel="0" collapsed="false">
      <c r="A908" s="9"/>
      <c r="B908" s="9"/>
      <c r="C908" s="9"/>
      <c r="D908" s="9"/>
      <c r="E908" s="9"/>
      <c r="F908" s="9" t="s">
        <v>2399</v>
      </c>
      <c r="G908" s="10" t="s">
        <v>2408</v>
      </c>
      <c r="H908" s="9" t="s">
        <v>2409</v>
      </c>
      <c r="I908" s="9" t="n">
        <v>551</v>
      </c>
      <c r="J908" s="9" t="n">
        <v>15997</v>
      </c>
      <c r="K908" s="11" t="n">
        <v>7.479</v>
      </c>
      <c r="L908" s="11" t="n">
        <v>1</v>
      </c>
      <c r="M908" s="9" t="n">
        <v>1</v>
      </c>
      <c r="N908" s="11" t="n">
        <v>0.089</v>
      </c>
      <c r="O908" s="11" t="n">
        <v>0.763</v>
      </c>
      <c r="P908" s="12"/>
      <c r="Q908" s="12"/>
      <c r="R908" s="12"/>
      <c r="S908" s="12"/>
      <c r="T908" s="9" t="s">
        <v>2403</v>
      </c>
      <c r="U908" s="9" t="s">
        <v>2408</v>
      </c>
    </row>
    <row r="909" customFormat="false" ht="15" hidden="false" customHeight="false" outlineLevel="0" collapsed="false">
      <c r="A909" s="7" t="s">
        <v>1820</v>
      </c>
      <c r="B909" s="7" t="s">
        <v>2410</v>
      </c>
      <c r="C909" s="8" t="s">
        <v>845</v>
      </c>
      <c r="D909" s="7" t="s">
        <v>2411</v>
      </c>
      <c r="E909" s="7" t="n">
        <v>11</v>
      </c>
      <c r="F909" s="9" t="s">
        <v>2412</v>
      </c>
      <c r="G909" s="10" t="s">
        <v>2413</v>
      </c>
      <c r="H909" s="9"/>
      <c r="I909" s="9" t="n">
        <v>4</v>
      </c>
      <c r="J909" s="9" t="n">
        <v>0</v>
      </c>
      <c r="K909" s="11" t="n">
        <v>0</v>
      </c>
      <c r="L909" s="11" t="n">
        <v>0.922</v>
      </c>
      <c r="M909" s="9" t="n">
        <v>1</v>
      </c>
      <c r="N909" s="11" t="n">
        <v>0.8</v>
      </c>
      <c r="O909" s="11" t="n">
        <v>0.835</v>
      </c>
      <c r="P909" s="12"/>
      <c r="Q909" s="12"/>
      <c r="R909" s="12"/>
      <c r="S909" s="12"/>
      <c r="T909" s="9" t="s">
        <v>2414</v>
      </c>
      <c r="U909" s="9" t="s">
        <v>2413</v>
      </c>
    </row>
    <row r="910" customFormat="false" ht="15" hidden="false" customHeight="false" outlineLevel="0" collapsed="false">
      <c r="A910" s="9"/>
      <c r="B910" s="9"/>
      <c r="C910" s="9"/>
      <c r="D910" s="9"/>
      <c r="E910" s="9"/>
      <c r="F910" s="9" t="s">
        <v>2415</v>
      </c>
      <c r="G910" s="10" t="s">
        <v>2416</v>
      </c>
      <c r="H910" s="9"/>
      <c r="I910" s="9" t="n">
        <v>1</v>
      </c>
      <c r="J910" s="9" t="n">
        <v>0</v>
      </c>
      <c r="K910" s="11" t="n">
        <v>0</v>
      </c>
      <c r="L910" s="11" t="n">
        <v>0.964</v>
      </c>
      <c r="M910" s="9" t="n">
        <v>0</v>
      </c>
      <c r="N910" s="11" t="n">
        <v>1</v>
      </c>
      <c r="O910" s="11" t="n">
        <v>0.584</v>
      </c>
      <c r="P910" s="12"/>
      <c r="Q910" s="12"/>
      <c r="R910" s="12"/>
      <c r="S910" s="12"/>
      <c r="T910" s="9" t="s">
        <v>2414</v>
      </c>
      <c r="U910" s="9" t="s">
        <v>2416</v>
      </c>
    </row>
    <row r="911" customFormat="false" ht="15" hidden="false" customHeight="false" outlineLevel="0" collapsed="false">
      <c r="A911" s="9"/>
      <c r="B911" s="9"/>
      <c r="C911" s="9"/>
      <c r="D911" s="9"/>
      <c r="E911" s="9"/>
      <c r="F911" s="9" t="s">
        <v>2412</v>
      </c>
      <c r="G911" s="10" t="s">
        <v>2417</v>
      </c>
      <c r="H911" s="9"/>
      <c r="I911" s="9" t="n">
        <v>1</v>
      </c>
      <c r="J911" s="9" t="n">
        <v>0</v>
      </c>
      <c r="K911" s="11" t="n">
        <v>0</v>
      </c>
      <c r="L911" s="11" t="n">
        <v>0.922</v>
      </c>
      <c r="M911" s="9" t="n">
        <v>0</v>
      </c>
      <c r="N911" s="11" t="n">
        <v>0.5</v>
      </c>
      <c r="O911" s="11" t="n">
        <v>0.49</v>
      </c>
      <c r="P911" s="12"/>
      <c r="Q911" s="12"/>
      <c r="R911" s="12"/>
      <c r="S911" s="12"/>
      <c r="T911" s="9" t="s">
        <v>2414</v>
      </c>
      <c r="U911" s="9" t="s">
        <v>2417</v>
      </c>
    </row>
    <row r="912" customFormat="false" ht="15" hidden="false" customHeight="false" outlineLevel="0" collapsed="false">
      <c r="A912" s="9"/>
      <c r="B912" s="9"/>
      <c r="C912" s="9"/>
      <c r="D912" s="9"/>
      <c r="E912" s="9"/>
      <c r="F912" s="9" t="s">
        <v>2418</v>
      </c>
      <c r="G912" s="10" t="s">
        <v>2419</v>
      </c>
      <c r="H912" s="9"/>
      <c r="I912" s="9" t="n">
        <v>1</v>
      </c>
      <c r="J912" s="9" t="n">
        <v>0</v>
      </c>
      <c r="K912" s="11" t="n">
        <v>0</v>
      </c>
      <c r="L912" s="11" t="n">
        <v>0.92</v>
      </c>
      <c r="M912" s="9" t="n">
        <v>0</v>
      </c>
      <c r="N912" s="11" t="n">
        <v>0.5</v>
      </c>
      <c r="O912" s="11" t="n">
        <v>0.489</v>
      </c>
      <c r="P912" s="12"/>
      <c r="Q912" s="12"/>
      <c r="R912" s="12"/>
      <c r="S912" s="12"/>
      <c r="T912" s="9" t="s">
        <v>2414</v>
      </c>
      <c r="U912" s="9" t="s">
        <v>2419</v>
      </c>
    </row>
    <row r="913" customFormat="false" ht="15" hidden="false" customHeight="false" outlineLevel="0" collapsed="false">
      <c r="A913" s="7" t="s">
        <v>1820</v>
      </c>
      <c r="B913" s="7" t="s">
        <v>2420</v>
      </c>
      <c r="C913" s="8" t="s">
        <v>2421</v>
      </c>
      <c r="D913" s="7" t="s">
        <v>2422</v>
      </c>
      <c r="E913" s="7" t="n">
        <v>5004</v>
      </c>
      <c r="F913" s="9" t="s">
        <v>2420</v>
      </c>
      <c r="G913" s="10" t="s">
        <v>2423</v>
      </c>
      <c r="H913" s="9" t="s">
        <v>2424</v>
      </c>
      <c r="I913" s="9" t="n">
        <v>254</v>
      </c>
      <c r="J913" s="9" t="n">
        <v>7543</v>
      </c>
      <c r="K913" s="11" t="n">
        <v>1.577</v>
      </c>
      <c r="L913" s="11" t="n">
        <v>1</v>
      </c>
      <c r="M913" s="9" t="n">
        <v>1</v>
      </c>
      <c r="N913" s="11" t="n">
        <v>1</v>
      </c>
      <c r="O913" s="11" t="n">
        <v>0.95</v>
      </c>
      <c r="P913" s="12"/>
      <c r="Q913" s="12"/>
      <c r="R913" s="12"/>
      <c r="S913" s="12"/>
      <c r="T913" s="9" t="s">
        <v>2425</v>
      </c>
      <c r="U913" s="9" t="s">
        <v>2423</v>
      </c>
    </row>
    <row r="914" customFormat="false" ht="15" hidden="false" customHeight="false" outlineLevel="0" collapsed="false">
      <c r="A914" s="9"/>
      <c r="B914" s="9"/>
      <c r="C914" s="9"/>
      <c r="D914" s="9"/>
      <c r="E914" s="9"/>
      <c r="F914" s="9" t="s">
        <v>2420</v>
      </c>
      <c r="G914" s="10" t="s">
        <v>2426</v>
      </c>
      <c r="H914" s="9" t="s">
        <v>1787</v>
      </c>
      <c r="I914" s="9" t="n">
        <v>245</v>
      </c>
      <c r="J914" s="9" t="n">
        <v>6421</v>
      </c>
      <c r="K914" s="11" t="n">
        <v>1.342</v>
      </c>
      <c r="L914" s="11" t="n">
        <v>1</v>
      </c>
      <c r="M914" s="9" t="n">
        <v>1</v>
      </c>
      <c r="N914" s="11" t="n">
        <v>0</v>
      </c>
      <c r="O914" s="11" t="n">
        <v>0.85</v>
      </c>
      <c r="P914" s="12"/>
      <c r="Q914" s="12"/>
      <c r="R914" s="12"/>
      <c r="S914" s="12"/>
      <c r="T914" s="9" t="s">
        <v>2425</v>
      </c>
      <c r="U914" s="9" t="s">
        <v>2426</v>
      </c>
    </row>
    <row r="915" customFormat="false" ht="15" hidden="false" customHeight="false" outlineLevel="0" collapsed="false">
      <c r="A915" s="9"/>
      <c r="B915" s="9"/>
      <c r="C915" s="9"/>
      <c r="D915" s="9"/>
      <c r="E915" s="9"/>
      <c r="F915" s="9" t="s">
        <v>2420</v>
      </c>
      <c r="G915" s="10" t="s">
        <v>2427</v>
      </c>
      <c r="H915" s="9" t="s">
        <v>2428</v>
      </c>
      <c r="I915" s="9" t="n">
        <v>367</v>
      </c>
      <c r="J915" s="9" t="n">
        <v>15228</v>
      </c>
      <c r="K915" s="11" t="n">
        <v>3.184</v>
      </c>
      <c r="L915" s="11" t="n">
        <v>1</v>
      </c>
      <c r="M915" s="9" t="n">
        <v>1</v>
      </c>
      <c r="N915" s="11" t="n">
        <v>0</v>
      </c>
      <c r="O915" s="11" t="n">
        <v>0.75</v>
      </c>
      <c r="P915" s="12"/>
      <c r="Q915" s="12"/>
      <c r="R915" s="12"/>
      <c r="S915" s="12"/>
      <c r="T915" s="9" t="s">
        <v>2425</v>
      </c>
      <c r="U915" s="9" t="s">
        <v>2427</v>
      </c>
    </row>
    <row r="916" customFormat="false" ht="15" hidden="false" customHeight="false" outlineLevel="0" collapsed="false">
      <c r="A916" s="9"/>
      <c r="B916" s="9"/>
      <c r="C916" s="9"/>
      <c r="D916" s="9"/>
      <c r="E916" s="9"/>
      <c r="F916" s="9" t="s">
        <v>2420</v>
      </c>
      <c r="G916" s="10" t="s">
        <v>2429</v>
      </c>
      <c r="H916" s="9" t="s">
        <v>2430</v>
      </c>
      <c r="I916" s="9" t="n">
        <v>262</v>
      </c>
      <c r="J916" s="9" t="n">
        <v>9390</v>
      </c>
      <c r="K916" s="11" t="n">
        <v>1.963</v>
      </c>
      <c r="L916" s="11" t="n">
        <v>1</v>
      </c>
      <c r="M916" s="9" t="n">
        <v>0</v>
      </c>
      <c r="N916" s="11" t="n">
        <v>1</v>
      </c>
      <c r="O916" s="11" t="n">
        <v>0.65</v>
      </c>
      <c r="P916" s="12"/>
      <c r="Q916" s="12"/>
      <c r="R916" s="12"/>
      <c r="S916" s="12"/>
      <c r="T916" s="9" t="s">
        <v>2425</v>
      </c>
      <c r="U916" s="9" t="s">
        <v>2429</v>
      </c>
    </row>
    <row r="917" customFormat="false" ht="15" hidden="false" customHeight="false" outlineLevel="0" collapsed="false">
      <c r="A917" s="9"/>
      <c r="B917" s="9"/>
      <c r="C917" s="9"/>
      <c r="D917" s="9"/>
      <c r="E917" s="9"/>
      <c r="F917" s="9" t="s">
        <v>2420</v>
      </c>
      <c r="G917" s="10" t="s">
        <v>2431</v>
      </c>
      <c r="H917" s="9" t="s">
        <v>1227</v>
      </c>
      <c r="I917" s="9" t="n">
        <v>169</v>
      </c>
      <c r="J917" s="9" t="n">
        <v>5884</v>
      </c>
      <c r="K917" s="11" t="n">
        <v>1.23</v>
      </c>
      <c r="L917" s="11" t="n">
        <v>1</v>
      </c>
      <c r="M917" s="9" t="n">
        <v>0</v>
      </c>
      <c r="N917" s="11" t="n">
        <v>0.549</v>
      </c>
      <c r="O917" s="11" t="n">
        <v>0.632</v>
      </c>
      <c r="P917" s="12"/>
      <c r="Q917" s="12"/>
      <c r="R917" s="12"/>
      <c r="S917" s="12"/>
      <c r="T917" s="9" t="s">
        <v>2425</v>
      </c>
      <c r="U917" s="9" t="s">
        <v>2431</v>
      </c>
    </row>
    <row r="918" customFormat="false" ht="15" hidden="false" customHeight="false" outlineLevel="0" collapsed="false">
      <c r="A918" s="7" t="s">
        <v>1820</v>
      </c>
      <c r="B918" s="7" t="s">
        <v>2432</v>
      </c>
      <c r="C918" s="8" t="s">
        <v>2433</v>
      </c>
      <c r="D918" s="7" t="s">
        <v>2434</v>
      </c>
      <c r="E918" s="7" t="n">
        <v>1568</v>
      </c>
      <c r="F918" s="9" t="s">
        <v>2432</v>
      </c>
      <c r="G918" s="10" t="s">
        <v>2435</v>
      </c>
      <c r="H918" s="9" t="s">
        <v>1414</v>
      </c>
      <c r="I918" s="9" t="n">
        <v>208</v>
      </c>
      <c r="J918" s="9" t="n">
        <v>9667</v>
      </c>
      <c r="K918" s="11" t="n">
        <v>6.165</v>
      </c>
      <c r="L918" s="11" t="n">
        <v>1</v>
      </c>
      <c r="M918" s="9" t="n">
        <v>1</v>
      </c>
      <c r="N918" s="11" t="n">
        <v>0.469</v>
      </c>
      <c r="O918" s="11" t="n">
        <v>0.82</v>
      </c>
      <c r="P918" s="12"/>
      <c r="Q918" s="12"/>
      <c r="R918" s="12"/>
      <c r="S918" s="12"/>
      <c r="T918" s="9" t="s">
        <v>2436</v>
      </c>
      <c r="U918" s="9" t="s">
        <v>2435</v>
      </c>
    </row>
    <row r="919" customFormat="false" ht="15" hidden="false" customHeight="false" outlineLevel="0" collapsed="false">
      <c r="A919" s="9"/>
      <c r="B919" s="9"/>
      <c r="C919" s="9"/>
      <c r="D919" s="9"/>
      <c r="E919" s="9"/>
      <c r="F919" s="9" t="s">
        <v>2432</v>
      </c>
      <c r="G919" s="10" t="s">
        <v>2437</v>
      </c>
      <c r="H919" s="9" t="s">
        <v>2438</v>
      </c>
      <c r="I919" s="9" t="n">
        <v>237</v>
      </c>
      <c r="J919" s="9" t="n">
        <v>4999</v>
      </c>
      <c r="K919" s="11" t="n">
        <v>3.188</v>
      </c>
      <c r="L919" s="11" t="n">
        <v>1</v>
      </c>
      <c r="M919" s="9" t="n">
        <v>1</v>
      </c>
      <c r="N919" s="11" t="n">
        <v>0.157</v>
      </c>
      <c r="O919" s="11" t="n">
        <v>0.774</v>
      </c>
      <c r="P919" s="12"/>
      <c r="Q919" s="12"/>
      <c r="R919" s="12"/>
      <c r="S919" s="12"/>
      <c r="T919" s="9" t="s">
        <v>2436</v>
      </c>
      <c r="U919" s="9" t="s">
        <v>2437</v>
      </c>
    </row>
    <row r="920" customFormat="false" ht="15" hidden="false" customHeight="false" outlineLevel="0" collapsed="false">
      <c r="A920" s="9"/>
      <c r="B920" s="9"/>
      <c r="C920" s="9"/>
      <c r="D920" s="9"/>
      <c r="E920" s="9"/>
      <c r="F920" s="9" t="s">
        <v>2432</v>
      </c>
      <c r="G920" s="10" t="s">
        <v>2439</v>
      </c>
      <c r="H920" s="9" t="s">
        <v>1402</v>
      </c>
      <c r="I920" s="9" t="n">
        <v>1533</v>
      </c>
      <c r="J920" s="9" t="n">
        <v>87154</v>
      </c>
      <c r="K920" s="11" t="n">
        <v>55.583</v>
      </c>
      <c r="L920" s="11" t="n">
        <v>1</v>
      </c>
      <c r="M920" s="9" t="n">
        <v>1</v>
      </c>
      <c r="N920" s="11" t="n">
        <v>0</v>
      </c>
      <c r="O920" s="11" t="n">
        <v>0.75</v>
      </c>
      <c r="P920" s="12"/>
      <c r="Q920" s="12"/>
      <c r="R920" s="12"/>
      <c r="S920" s="12"/>
      <c r="T920" s="9" t="s">
        <v>2436</v>
      </c>
      <c r="U920" s="9" t="s">
        <v>2439</v>
      </c>
    </row>
    <row r="921" customFormat="false" ht="15" hidden="false" customHeight="false" outlineLevel="0" collapsed="false">
      <c r="A921" s="9"/>
      <c r="B921" s="9"/>
      <c r="C921" s="9"/>
      <c r="D921" s="9"/>
      <c r="E921" s="9"/>
      <c r="F921" s="9" t="s">
        <v>2432</v>
      </c>
      <c r="G921" s="10" t="s">
        <v>2440</v>
      </c>
      <c r="H921" s="9" t="s">
        <v>2441</v>
      </c>
      <c r="I921" s="9" t="n">
        <v>510</v>
      </c>
      <c r="J921" s="9" t="n">
        <v>12487</v>
      </c>
      <c r="K921" s="11" t="n">
        <v>7.964</v>
      </c>
      <c r="L921" s="11" t="n">
        <v>1</v>
      </c>
      <c r="M921" s="9" t="n">
        <v>0.5</v>
      </c>
      <c r="N921" s="11" t="n">
        <v>0.216</v>
      </c>
      <c r="O921" s="11" t="n">
        <v>0.632</v>
      </c>
      <c r="P921" s="12"/>
      <c r="Q921" s="12"/>
      <c r="R921" s="12"/>
      <c r="S921" s="12"/>
      <c r="T921" s="9" t="s">
        <v>2436</v>
      </c>
      <c r="U921" s="9" t="s">
        <v>2440</v>
      </c>
    </row>
    <row r="922" customFormat="false" ht="15" hidden="false" customHeight="false" outlineLevel="0" collapsed="false">
      <c r="A922" s="9"/>
      <c r="B922" s="9"/>
      <c r="C922" s="9"/>
      <c r="D922" s="9"/>
      <c r="E922" s="9"/>
      <c r="F922" s="9" t="s">
        <v>2432</v>
      </c>
      <c r="G922" s="10" t="s">
        <v>2442</v>
      </c>
      <c r="H922" s="9" t="s">
        <v>299</v>
      </c>
      <c r="I922" s="9" t="n">
        <v>371</v>
      </c>
      <c r="J922" s="9" t="n">
        <v>6499</v>
      </c>
      <c r="K922" s="11" t="n">
        <v>4.145</v>
      </c>
      <c r="L922" s="11" t="n">
        <v>1</v>
      </c>
      <c r="M922" s="9" t="n">
        <v>0.5</v>
      </c>
      <c r="N922" s="11" t="n">
        <v>0</v>
      </c>
      <c r="O922" s="11" t="n">
        <v>0.6</v>
      </c>
      <c r="P922" s="12"/>
      <c r="Q922" s="12"/>
      <c r="R922" s="12"/>
      <c r="S922" s="12"/>
      <c r="T922" s="9" t="s">
        <v>2436</v>
      </c>
      <c r="U922" s="9" t="s">
        <v>2442</v>
      </c>
    </row>
    <row r="923" customFormat="false" ht="15" hidden="false" customHeight="false" outlineLevel="0" collapsed="false">
      <c r="A923" s="7" t="s">
        <v>2443</v>
      </c>
      <c r="B923" s="7" t="s">
        <v>2444</v>
      </c>
      <c r="C923" s="8" t="s">
        <v>651</v>
      </c>
      <c r="D923" s="7" t="s">
        <v>2445</v>
      </c>
      <c r="E923" s="7" t="n">
        <v>22</v>
      </c>
      <c r="F923" s="9" t="s">
        <v>2444</v>
      </c>
      <c r="G923" s="10" t="s">
        <v>2446</v>
      </c>
      <c r="H923" s="9"/>
      <c r="I923" s="9" t="n">
        <v>4</v>
      </c>
      <c r="J923" s="9" t="n">
        <v>5</v>
      </c>
      <c r="K923" s="11" t="n">
        <v>0.238</v>
      </c>
      <c r="L923" s="11" t="n">
        <v>1</v>
      </c>
      <c r="M923" s="9" t="n">
        <v>1</v>
      </c>
      <c r="N923" s="11" t="n">
        <v>0.6</v>
      </c>
      <c r="O923" s="11" t="n">
        <v>0.94</v>
      </c>
      <c r="P923" s="12"/>
      <c r="Q923" s="12"/>
      <c r="R923" s="12"/>
      <c r="S923" s="12"/>
      <c r="T923" s="9" t="s">
        <v>2447</v>
      </c>
      <c r="U923" s="9" t="s">
        <v>2446</v>
      </c>
    </row>
    <row r="924" customFormat="false" ht="15" hidden="false" customHeight="false" outlineLevel="0" collapsed="false">
      <c r="A924" s="9"/>
      <c r="B924" s="9"/>
      <c r="C924" s="9"/>
      <c r="D924" s="9"/>
      <c r="E924" s="9"/>
      <c r="F924" s="9" t="s">
        <v>2444</v>
      </c>
      <c r="G924" s="10" t="s">
        <v>2448</v>
      </c>
      <c r="H924" s="9"/>
      <c r="I924" s="9" t="n">
        <v>1</v>
      </c>
      <c r="J924" s="9" t="n">
        <v>17</v>
      </c>
      <c r="K924" s="11" t="n">
        <v>0.81</v>
      </c>
      <c r="L924" s="11" t="n">
        <v>1</v>
      </c>
      <c r="M924" s="9" t="n">
        <v>0</v>
      </c>
      <c r="N924" s="11" t="n">
        <v>1</v>
      </c>
      <c r="O924" s="11" t="n">
        <v>0.7</v>
      </c>
      <c r="P924" s="12"/>
      <c r="Q924" s="12"/>
      <c r="R924" s="12"/>
      <c r="S924" s="12"/>
      <c r="T924" s="9" t="s">
        <v>2447</v>
      </c>
      <c r="U924" s="9" t="s">
        <v>2448</v>
      </c>
    </row>
    <row r="925" customFormat="false" ht="15" hidden="false" customHeight="false" outlineLevel="0" collapsed="false">
      <c r="A925" s="7" t="s">
        <v>2443</v>
      </c>
      <c r="B925" s="7" t="s">
        <v>2449</v>
      </c>
      <c r="C925" s="8" t="s">
        <v>727</v>
      </c>
      <c r="D925" s="7" t="s">
        <v>2450</v>
      </c>
      <c r="E925" s="7" t="n">
        <v>51</v>
      </c>
      <c r="F925" s="9" t="s">
        <v>2449</v>
      </c>
      <c r="G925" s="10" t="s">
        <v>2451</v>
      </c>
      <c r="H925" s="9" t="s">
        <v>108</v>
      </c>
      <c r="I925" s="9" t="n">
        <v>5</v>
      </c>
      <c r="J925" s="9" t="n">
        <v>13</v>
      </c>
      <c r="K925" s="11" t="n">
        <v>0.255</v>
      </c>
      <c r="L925" s="11" t="n">
        <v>1</v>
      </c>
      <c r="M925" s="9" t="n">
        <v>1</v>
      </c>
      <c r="N925" s="11" t="n">
        <v>0.5</v>
      </c>
      <c r="O925" s="11" t="n">
        <v>0.925</v>
      </c>
      <c r="P925" s="12"/>
      <c r="Q925" s="12"/>
      <c r="R925" s="12"/>
      <c r="S925" s="12"/>
      <c r="T925" s="9" t="s">
        <v>2452</v>
      </c>
      <c r="U925" s="9" t="s">
        <v>2451</v>
      </c>
    </row>
    <row r="926" customFormat="false" ht="15" hidden="false" customHeight="false" outlineLevel="0" collapsed="false">
      <c r="A926" s="7" t="s">
        <v>2443</v>
      </c>
      <c r="B926" s="7" t="s">
        <v>2453</v>
      </c>
      <c r="C926" s="8" t="s">
        <v>1990</v>
      </c>
      <c r="D926" s="7" t="s">
        <v>2454</v>
      </c>
      <c r="E926" s="7" t="n">
        <v>96</v>
      </c>
      <c r="F926" s="9" t="s">
        <v>2453</v>
      </c>
      <c r="G926" s="10" t="s">
        <v>2455</v>
      </c>
      <c r="H926" s="9" t="s">
        <v>1990</v>
      </c>
      <c r="I926" s="9" t="n">
        <v>3</v>
      </c>
      <c r="J926" s="9" t="n">
        <v>13</v>
      </c>
      <c r="K926" s="11" t="n">
        <v>0.135</v>
      </c>
      <c r="L926" s="11" t="n">
        <v>1</v>
      </c>
      <c r="M926" s="9" t="n">
        <v>1</v>
      </c>
      <c r="N926" s="11" t="n">
        <v>0.75</v>
      </c>
      <c r="O926" s="11" t="n">
        <v>0.963</v>
      </c>
      <c r="P926" s="12"/>
      <c r="Q926" s="12"/>
      <c r="R926" s="12"/>
      <c r="S926" s="12"/>
      <c r="T926" s="9" t="s">
        <v>2456</v>
      </c>
      <c r="U926" s="9" t="s">
        <v>2455</v>
      </c>
    </row>
    <row r="927" customFormat="false" ht="15" hidden="false" customHeight="false" outlineLevel="0" collapsed="false">
      <c r="A927" s="9"/>
      <c r="B927" s="9"/>
      <c r="C927" s="9"/>
      <c r="D927" s="9"/>
      <c r="E927" s="9"/>
      <c r="F927" s="9" t="s">
        <v>2457</v>
      </c>
      <c r="G927" s="10" t="s">
        <v>2458</v>
      </c>
      <c r="H927" s="9" t="s">
        <v>2459</v>
      </c>
      <c r="I927" s="9" t="n">
        <v>9</v>
      </c>
      <c r="J927" s="9" t="n">
        <v>7</v>
      </c>
      <c r="K927" s="11" t="n">
        <v>0.073</v>
      </c>
      <c r="L927" s="11" t="n">
        <v>1</v>
      </c>
      <c r="M927" s="9" t="n">
        <v>1</v>
      </c>
      <c r="N927" s="11" t="n">
        <v>0.875</v>
      </c>
      <c r="O927" s="11" t="n">
        <v>0.931</v>
      </c>
      <c r="P927" s="12"/>
      <c r="Q927" s="12"/>
      <c r="R927" s="12"/>
      <c r="S927" s="12"/>
      <c r="T927" s="9" t="s">
        <v>2456</v>
      </c>
      <c r="U927" s="9" t="s">
        <v>2458</v>
      </c>
    </row>
    <row r="928" customFormat="false" ht="15" hidden="false" customHeight="false" outlineLevel="0" collapsed="false">
      <c r="A928" s="7" t="s">
        <v>2443</v>
      </c>
      <c r="B928" s="7" t="s">
        <v>2460</v>
      </c>
      <c r="C928" s="8" t="s">
        <v>796</v>
      </c>
      <c r="D928" s="7" t="s">
        <v>2461</v>
      </c>
      <c r="E928" s="7" t="n">
        <v>15</v>
      </c>
      <c r="F928" s="9" t="s">
        <v>2460</v>
      </c>
      <c r="G928" s="10" t="s">
        <v>2462</v>
      </c>
      <c r="H928" s="9" t="s">
        <v>2463</v>
      </c>
      <c r="I928" s="9" t="n">
        <v>3</v>
      </c>
      <c r="J928" s="9" t="n">
        <v>11</v>
      </c>
      <c r="K928" s="11" t="n">
        <v>0.733</v>
      </c>
      <c r="L928" s="11" t="n">
        <v>1</v>
      </c>
      <c r="M928" s="9" t="n">
        <v>1</v>
      </c>
      <c r="N928" s="11" t="n">
        <v>0.6</v>
      </c>
      <c r="O928" s="11" t="n">
        <v>0.94</v>
      </c>
      <c r="P928" s="12"/>
      <c r="Q928" s="12"/>
      <c r="R928" s="12"/>
      <c r="S928" s="12"/>
      <c r="T928" s="9" t="s">
        <v>2464</v>
      </c>
      <c r="U928" s="9" t="s">
        <v>2462</v>
      </c>
    </row>
    <row r="929" customFormat="false" ht="15" hidden="false" customHeight="false" outlineLevel="0" collapsed="false">
      <c r="A929" s="9"/>
      <c r="B929" s="9"/>
      <c r="C929" s="9"/>
      <c r="D929" s="9"/>
      <c r="E929" s="9"/>
      <c r="F929" s="9" t="s">
        <v>2460</v>
      </c>
      <c r="G929" s="10" t="s">
        <v>2465</v>
      </c>
      <c r="H929" s="9" t="s">
        <v>2466</v>
      </c>
      <c r="I929" s="9" t="n">
        <v>1</v>
      </c>
      <c r="J929" s="9" t="n">
        <v>0</v>
      </c>
      <c r="K929" s="11" t="n">
        <v>0</v>
      </c>
      <c r="L929" s="11" t="n">
        <v>1</v>
      </c>
      <c r="M929" s="9" t="n">
        <v>1</v>
      </c>
      <c r="N929" s="11" t="n">
        <v>0.5</v>
      </c>
      <c r="O929" s="11" t="n">
        <v>0.825</v>
      </c>
      <c r="P929" s="12"/>
      <c r="Q929" s="12"/>
      <c r="R929" s="12"/>
      <c r="S929" s="12"/>
      <c r="T929" s="9" t="s">
        <v>2464</v>
      </c>
      <c r="U929" s="9" t="s">
        <v>2465</v>
      </c>
    </row>
    <row r="930" customFormat="false" ht="15" hidden="false" customHeight="false" outlineLevel="0" collapsed="false">
      <c r="A930" s="7" t="s">
        <v>2443</v>
      </c>
      <c r="B930" s="7" t="s">
        <v>2467</v>
      </c>
      <c r="C930" s="8" t="s">
        <v>299</v>
      </c>
      <c r="D930" s="7" t="s">
        <v>2468</v>
      </c>
      <c r="E930" s="7" t="n">
        <v>47</v>
      </c>
      <c r="F930" s="9" t="s">
        <v>2467</v>
      </c>
      <c r="G930" s="10" t="s">
        <v>2469</v>
      </c>
      <c r="H930" s="9"/>
      <c r="I930" s="9" t="n">
        <v>2</v>
      </c>
      <c r="J930" s="9" t="n">
        <v>5</v>
      </c>
      <c r="K930" s="11" t="n">
        <v>0.106</v>
      </c>
      <c r="L930" s="11" t="n">
        <v>1</v>
      </c>
      <c r="M930" s="9" t="n">
        <v>1</v>
      </c>
      <c r="N930" s="11" t="n">
        <v>1</v>
      </c>
      <c r="O930" s="11" t="n">
        <v>1</v>
      </c>
      <c r="P930" s="12"/>
      <c r="Q930" s="12"/>
      <c r="R930" s="12"/>
      <c r="S930" s="12"/>
      <c r="T930" s="9" t="s">
        <v>2470</v>
      </c>
      <c r="U930" s="9" t="s">
        <v>2469</v>
      </c>
    </row>
    <row r="931" customFormat="false" ht="15" hidden="false" customHeight="false" outlineLevel="0" collapsed="false">
      <c r="A931" s="9"/>
      <c r="B931" s="9"/>
      <c r="C931" s="9"/>
      <c r="D931" s="9"/>
      <c r="E931" s="9"/>
      <c r="F931" s="9" t="s">
        <v>2471</v>
      </c>
      <c r="G931" s="10" t="s">
        <v>2472</v>
      </c>
      <c r="H931" s="9" t="s">
        <v>299</v>
      </c>
      <c r="I931" s="9" t="n">
        <v>13</v>
      </c>
      <c r="J931" s="9" t="n">
        <v>7</v>
      </c>
      <c r="K931" s="11" t="n">
        <v>0.149</v>
      </c>
      <c r="L931" s="11" t="n">
        <v>0.851</v>
      </c>
      <c r="M931" s="9" t="n">
        <v>1</v>
      </c>
      <c r="N931" s="11" t="n">
        <v>1</v>
      </c>
      <c r="O931" s="11" t="n">
        <v>0.933</v>
      </c>
      <c r="P931" s="12"/>
      <c r="Q931" s="12"/>
      <c r="R931" s="12"/>
      <c r="S931" s="12"/>
      <c r="T931" s="9" t="s">
        <v>2470</v>
      </c>
      <c r="U931" s="9" t="s">
        <v>2472</v>
      </c>
    </row>
    <row r="932" customFormat="false" ht="15" hidden="false" customHeight="false" outlineLevel="0" collapsed="false">
      <c r="A932" s="9"/>
      <c r="B932" s="9"/>
      <c r="C932" s="9"/>
      <c r="D932" s="9"/>
      <c r="E932" s="9"/>
      <c r="F932" s="9" t="s">
        <v>2467</v>
      </c>
      <c r="G932" s="10" t="s">
        <v>2473</v>
      </c>
      <c r="H932" s="9" t="s">
        <v>108</v>
      </c>
      <c r="I932" s="9" t="n">
        <v>1</v>
      </c>
      <c r="J932" s="9" t="n">
        <v>0</v>
      </c>
      <c r="K932" s="11" t="n">
        <v>0</v>
      </c>
      <c r="L932" s="11" t="n">
        <v>1</v>
      </c>
      <c r="M932" s="9" t="n">
        <v>0</v>
      </c>
      <c r="N932" s="11" t="n">
        <v>1</v>
      </c>
      <c r="O932" s="11" t="n">
        <v>0.6</v>
      </c>
      <c r="P932" s="12"/>
      <c r="Q932" s="12"/>
      <c r="R932" s="12"/>
      <c r="S932" s="12"/>
      <c r="T932" s="9" t="s">
        <v>2470</v>
      </c>
      <c r="U932" s="9" t="s">
        <v>2473</v>
      </c>
    </row>
    <row r="933" customFormat="false" ht="15" hidden="false" customHeight="false" outlineLevel="0" collapsed="false">
      <c r="A933" s="9"/>
      <c r="B933" s="9"/>
      <c r="C933" s="9"/>
      <c r="D933" s="9"/>
      <c r="E933" s="9"/>
      <c r="F933" s="9" t="s">
        <v>2467</v>
      </c>
      <c r="G933" s="10" t="s">
        <v>2474</v>
      </c>
      <c r="H933" s="9"/>
      <c r="I933" s="9" t="n">
        <v>1</v>
      </c>
      <c r="J933" s="9" t="n">
        <v>0</v>
      </c>
      <c r="K933" s="11" t="n">
        <v>0</v>
      </c>
      <c r="L933" s="11" t="n">
        <v>1</v>
      </c>
      <c r="M933" s="9" t="n">
        <v>0</v>
      </c>
      <c r="N933" s="11" t="n">
        <v>1</v>
      </c>
      <c r="O933" s="11" t="n">
        <v>0.6</v>
      </c>
      <c r="P933" s="12"/>
      <c r="Q933" s="12"/>
      <c r="R933" s="12"/>
      <c r="S933" s="12"/>
      <c r="T933" s="9" t="s">
        <v>2470</v>
      </c>
      <c r="U933" s="9" t="s">
        <v>2474</v>
      </c>
    </row>
    <row r="934" customFormat="false" ht="15" hidden="false" customHeight="false" outlineLevel="0" collapsed="false">
      <c r="A934" s="9"/>
      <c r="B934" s="9"/>
      <c r="C934" s="9"/>
      <c r="D934" s="9"/>
      <c r="E934" s="9"/>
      <c r="F934" s="9" t="s">
        <v>2467</v>
      </c>
      <c r="G934" s="10" t="s">
        <v>2475</v>
      </c>
      <c r="H934" s="9"/>
      <c r="I934" s="9" t="n">
        <v>2</v>
      </c>
      <c r="J934" s="9" t="n">
        <v>0</v>
      </c>
      <c r="K934" s="11" t="n">
        <v>0</v>
      </c>
      <c r="L934" s="11" t="n">
        <v>1</v>
      </c>
      <c r="M934" s="9" t="n">
        <v>0</v>
      </c>
      <c r="N934" s="11" t="n">
        <v>1</v>
      </c>
      <c r="O934" s="11" t="n">
        <v>0.6</v>
      </c>
      <c r="P934" s="12"/>
      <c r="Q934" s="12"/>
      <c r="R934" s="12"/>
      <c r="S934" s="12"/>
      <c r="T934" s="9" t="s">
        <v>2470</v>
      </c>
      <c r="U934" s="9" t="s">
        <v>2475</v>
      </c>
    </row>
    <row r="935" customFormat="false" ht="15" hidden="false" customHeight="false" outlineLevel="0" collapsed="false">
      <c r="A935" s="7" t="s">
        <v>2443</v>
      </c>
      <c r="B935" s="7" t="s">
        <v>2476</v>
      </c>
      <c r="C935" s="8" t="s">
        <v>2477</v>
      </c>
      <c r="D935" s="7" t="s">
        <v>2478</v>
      </c>
      <c r="E935" s="7" t="n">
        <v>24</v>
      </c>
      <c r="F935" s="9" t="s">
        <v>2479</v>
      </c>
      <c r="G935" s="10" t="s">
        <v>2480</v>
      </c>
      <c r="H935" s="9" t="s">
        <v>2477</v>
      </c>
      <c r="I935" s="9" t="n">
        <v>1</v>
      </c>
      <c r="J935" s="9" t="n">
        <v>3</v>
      </c>
      <c r="K935" s="11" t="n">
        <v>0.125</v>
      </c>
      <c r="L935" s="11" t="n">
        <v>1</v>
      </c>
      <c r="M935" s="9" t="n">
        <v>1</v>
      </c>
      <c r="N935" s="11" t="n">
        <v>1</v>
      </c>
      <c r="O935" s="11" t="n">
        <v>1</v>
      </c>
      <c r="P935" s="12"/>
      <c r="Q935" s="12"/>
      <c r="R935" s="12"/>
      <c r="S935" s="12"/>
      <c r="T935" s="9" t="s">
        <v>2481</v>
      </c>
      <c r="U935" s="9" t="s">
        <v>2480</v>
      </c>
    </row>
    <row r="936" customFormat="false" ht="15" hidden="false" customHeight="false" outlineLevel="0" collapsed="false">
      <c r="A936" s="9"/>
      <c r="B936" s="9"/>
      <c r="C936" s="9"/>
      <c r="D936" s="9"/>
      <c r="E936" s="9"/>
      <c r="F936" s="9" t="s">
        <v>2479</v>
      </c>
      <c r="G936" s="10" t="s">
        <v>2482</v>
      </c>
      <c r="H936" s="9" t="s">
        <v>2477</v>
      </c>
      <c r="I936" s="9" t="n">
        <v>2</v>
      </c>
      <c r="J936" s="9" t="n">
        <v>1</v>
      </c>
      <c r="K936" s="11" t="n">
        <v>0.042</v>
      </c>
      <c r="L936" s="11" t="n">
        <v>1</v>
      </c>
      <c r="M936" s="9" t="n">
        <v>1</v>
      </c>
      <c r="N936" s="11" t="n">
        <v>1</v>
      </c>
      <c r="O936" s="11" t="n">
        <v>0.95</v>
      </c>
      <c r="P936" s="12"/>
      <c r="Q936" s="12"/>
      <c r="R936" s="12"/>
      <c r="S936" s="12"/>
      <c r="T936" s="9" t="s">
        <v>2481</v>
      </c>
      <c r="U936" s="9" t="s">
        <v>2482</v>
      </c>
    </row>
    <row r="937" customFormat="false" ht="15" hidden="false" customHeight="false" outlineLevel="0" collapsed="false">
      <c r="A937" s="9"/>
      <c r="B937" s="9"/>
      <c r="C937" s="9"/>
      <c r="D937" s="9"/>
      <c r="E937" s="9"/>
      <c r="F937" s="9" t="s">
        <v>2479</v>
      </c>
      <c r="G937" s="10" t="s">
        <v>2483</v>
      </c>
      <c r="H937" s="9"/>
      <c r="I937" s="9" t="n">
        <v>2</v>
      </c>
      <c r="J937" s="9" t="n">
        <v>3</v>
      </c>
      <c r="K937" s="11" t="n">
        <v>0.125</v>
      </c>
      <c r="L937" s="11" t="n">
        <v>1</v>
      </c>
      <c r="M937" s="9" t="n">
        <v>0</v>
      </c>
      <c r="N937" s="11" t="n">
        <v>1</v>
      </c>
      <c r="O937" s="11" t="n">
        <v>0.7</v>
      </c>
      <c r="P937" s="12"/>
      <c r="Q937" s="12"/>
      <c r="R937" s="12"/>
      <c r="S937" s="12"/>
      <c r="T937" s="9" t="s">
        <v>2481</v>
      </c>
      <c r="U937" s="9" t="s">
        <v>2483</v>
      </c>
    </row>
    <row r="938" customFormat="false" ht="15" hidden="false" customHeight="false" outlineLevel="0" collapsed="false">
      <c r="A938" s="7" t="s">
        <v>2443</v>
      </c>
      <c r="B938" s="7" t="s">
        <v>2484</v>
      </c>
      <c r="C938" s="8" t="s">
        <v>2485</v>
      </c>
      <c r="D938" s="7" t="s">
        <v>2486</v>
      </c>
      <c r="E938" s="7" t="n">
        <v>87</v>
      </c>
      <c r="F938" s="9" t="s">
        <v>2487</v>
      </c>
      <c r="G938" s="10" t="s">
        <v>2488</v>
      </c>
      <c r="H938" s="9" t="s">
        <v>2485</v>
      </c>
      <c r="I938" s="9" t="n">
        <v>1</v>
      </c>
      <c r="J938" s="9" t="n">
        <v>23</v>
      </c>
      <c r="K938" s="11" t="n">
        <v>0.264</v>
      </c>
      <c r="L938" s="11" t="n">
        <v>1</v>
      </c>
      <c r="M938" s="9" t="n">
        <v>1</v>
      </c>
      <c r="N938" s="11" t="n">
        <v>1</v>
      </c>
      <c r="O938" s="11" t="n">
        <v>1</v>
      </c>
      <c r="P938" s="12"/>
      <c r="Q938" s="12"/>
      <c r="R938" s="12"/>
      <c r="S938" s="12"/>
      <c r="T938" s="9" t="s">
        <v>2489</v>
      </c>
      <c r="U938" s="9" t="s">
        <v>2488</v>
      </c>
    </row>
    <row r="939" customFormat="false" ht="15" hidden="false" customHeight="false" outlineLevel="0" collapsed="false">
      <c r="A939" s="9"/>
      <c r="B939" s="9"/>
      <c r="C939" s="9"/>
      <c r="D939" s="9"/>
      <c r="E939" s="9"/>
      <c r="F939" s="9" t="s">
        <v>2484</v>
      </c>
      <c r="G939" s="10" t="s">
        <v>2490</v>
      </c>
      <c r="H939" s="9"/>
      <c r="I939" s="9" t="n">
        <v>1</v>
      </c>
      <c r="J939" s="9" t="n">
        <v>0</v>
      </c>
      <c r="K939" s="11" t="n">
        <v>0</v>
      </c>
      <c r="L939" s="11" t="n">
        <v>1</v>
      </c>
      <c r="M939" s="9" t="n">
        <v>0</v>
      </c>
      <c r="N939" s="11" t="n">
        <v>1</v>
      </c>
      <c r="O939" s="11" t="n">
        <v>0.6</v>
      </c>
      <c r="P939" s="12"/>
      <c r="Q939" s="12"/>
      <c r="R939" s="12"/>
      <c r="S939" s="12"/>
      <c r="T939" s="9" t="s">
        <v>2489</v>
      </c>
      <c r="U939" s="9" t="s">
        <v>2490</v>
      </c>
    </row>
    <row r="940" customFormat="false" ht="15" hidden="false" customHeight="false" outlineLevel="0" collapsed="false">
      <c r="A940" s="9"/>
      <c r="B940" s="9"/>
      <c r="C940" s="9"/>
      <c r="D940" s="9"/>
      <c r="E940" s="9"/>
      <c r="F940" s="9" t="s">
        <v>2484</v>
      </c>
      <c r="G940" s="10" t="s">
        <v>2491</v>
      </c>
      <c r="H940" s="9"/>
      <c r="I940" s="9" t="n">
        <v>1</v>
      </c>
      <c r="J940" s="9" t="n">
        <v>0</v>
      </c>
      <c r="K940" s="11" t="n">
        <v>0</v>
      </c>
      <c r="L940" s="11" t="n">
        <v>1</v>
      </c>
      <c r="M940" s="9" t="n">
        <v>0</v>
      </c>
      <c r="N940" s="11" t="n">
        <v>1</v>
      </c>
      <c r="O940" s="11" t="n">
        <v>0.6</v>
      </c>
      <c r="P940" s="12"/>
      <c r="Q940" s="12"/>
      <c r="R940" s="12"/>
      <c r="S940" s="12"/>
      <c r="T940" s="9" t="s">
        <v>2489</v>
      </c>
      <c r="U940" s="9" t="s">
        <v>2491</v>
      </c>
    </row>
    <row r="941" customFormat="false" ht="15" hidden="false" customHeight="false" outlineLevel="0" collapsed="false">
      <c r="A941" s="7" t="s">
        <v>2443</v>
      </c>
      <c r="B941" s="7" t="s">
        <v>2492</v>
      </c>
      <c r="C941" s="8" t="s">
        <v>643</v>
      </c>
      <c r="D941" s="7" t="s">
        <v>2493</v>
      </c>
      <c r="E941" s="7" t="n">
        <v>17</v>
      </c>
      <c r="F941" s="9" t="s">
        <v>2492</v>
      </c>
      <c r="G941" s="10" t="s">
        <v>2494</v>
      </c>
      <c r="H941" s="9"/>
      <c r="I941" s="9" t="n">
        <v>4</v>
      </c>
      <c r="J941" s="9" t="n">
        <v>12</v>
      </c>
      <c r="K941" s="11" t="n">
        <v>0.857</v>
      </c>
      <c r="L941" s="11" t="n">
        <v>1</v>
      </c>
      <c r="M941" s="9" t="n">
        <v>1</v>
      </c>
      <c r="N941" s="11" t="n">
        <v>1</v>
      </c>
      <c r="O941" s="11" t="n">
        <v>1</v>
      </c>
      <c r="P941" s="12"/>
      <c r="Q941" s="12"/>
      <c r="R941" s="12"/>
      <c r="S941" s="12"/>
      <c r="T941" s="9" t="s">
        <v>2495</v>
      </c>
      <c r="U941" s="9" t="s">
        <v>2494</v>
      </c>
    </row>
    <row r="942" customFormat="false" ht="15" hidden="false" customHeight="false" outlineLevel="0" collapsed="false">
      <c r="A942" s="9"/>
      <c r="B942" s="9"/>
      <c r="C942" s="9"/>
      <c r="D942" s="9"/>
      <c r="E942" s="9"/>
      <c r="F942" s="9" t="s">
        <v>2492</v>
      </c>
      <c r="G942" s="10" t="s">
        <v>2496</v>
      </c>
      <c r="H942" s="9" t="s">
        <v>649</v>
      </c>
      <c r="I942" s="9" t="n">
        <v>1</v>
      </c>
      <c r="J942" s="9" t="n">
        <v>3</v>
      </c>
      <c r="K942" s="11" t="n">
        <v>0.214</v>
      </c>
      <c r="L942" s="11" t="n">
        <v>1</v>
      </c>
      <c r="M942" s="9" t="n">
        <v>1</v>
      </c>
      <c r="N942" s="11" t="n">
        <v>1</v>
      </c>
      <c r="O942" s="11" t="n">
        <v>1</v>
      </c>
      <c r="P942" s="12"/>
      <c r="Q942" s="12"/>
      <c r="R942" s="12"/>
      <c r="S942" s="12"/>
      <c r="T942" s="9" t="s">
        <v>2495</v>
      </c>
      <c r="U942" s="9" t="s">
        <v>2496</v>
      </c>
    </row>
    <row r="943" customFormat="false" ht="15" hidden="false" customHeight="false" outlineLevel="0" collapsed="false">
      <c r="A943" s="9"/>
      <c r="B943" s="9"/>
      <c r="C943" s="9"/>
      <c r="D943" s="9"/>
      <c r="E943" s="9"/>
      <c r="F943" s="9" t="s">
        <v>2492</v>
      </c>
      <c r="G943" s="10" t="s">
        <v>2497</v>
      </c>
      <c r="H943" s="9"/>
      <c r="I943" s="9" t="n">
        <v>1</v>
      </c>
      <c r="J943" s="9" t="n">
        <v>32</v>
      </c>
      <c r="K943" s="11" t="n">
        <v>2.286</v>
      </c>
      <c r="L943" s="11" t="n">
        <v>1</v>
      </c>
      <c r="M943" s="9" t="n">
        <v>0</v>
      </c>
      <c r="N943" s="11" t="n">
        <v>1</v>
      </c>
      <c r="O943" s="11" t="n">
        <v>0.65</v>
      </c>
      <c r="P943" s="12"/>
      <c r="Q943" s="12"/>
      <c r="R943" s="12"/>
      <c r="S943" s="12"/>
      <c r="T943" s="9" t="s">
        <v>2495</v>
      </c>
      <c r="U943" s="9" t="s">
        <v>2497</v>
      </c>
    </row>
    <row r="944" customFormat="false" ht="15" hidden="false" customHeight="false" outlineLevel="0" collapsed="false">
      <c r="A944" s="7" t="s">
        <v>2443</v>
      </c>
      <c r="B944" s="7" t="s">
        <v>2498</v>
      </c>
      <c r="C944" s="8" t="s">
        <v>594</v>
      </c>
      <c r="D944" s="7" t="s">
        <v>2499</v>
      </c>
      <c r="E944" s="7" t="n">
        <v>17</v>
      </c>
      <c r="F944" s="9" t="s">
        <v>2500</v>
      </c>
      <c r="G944" s="10" t="s">
        <v>2501</v>
      </c>
      <c r="H944" s="9"/>
      <c r="I944" s="9" t="n">
        <v>2</v>
      </c>
      <c r="J944" s="9" t="n">
        <v>2</v>
      </c>
      <c r="K944" s="11" t="n">
        <v>0.167</v>
      </c>
      <c r="L944" s="11" t="n">
        <v>1</v>
      </c>
      <c r="M944" s="9" t="n">
        <v>1</v>
      </c>
      <c r="N944" s="11" t="n">
        <v>1</v>
      </c>
      <c r="O944" s="11" t="n">
        <v>1</v>
      </c>
      <c r="P944" s="12"/>
      <c r="Q944" s="12"/>
      <c r="R944" s="12"/>
      <c r="S944" s="12"/>
      <c r="T944" s="9" t="s">
        <v>2502</v>
      </c>
      <c r="U944" s="9" t="s">
        <v>2501</v>
      </c>
    </row>
    <row r="945" customFormat="false" ht="15" hidden="false" customHeight="false" outlineLevel="0" collapsed="false">
      <c r="A945" s="9"/>
      <c r="B945" s="9"/>
      <c r="C945" s="9"/>
      <c r="D945" s="9"/>
      <c r="E945" s="9"/>
      <c r="F945" s="9" t="s">
        <v>2498</v>
      </c>
      <c r="G945" s="10" t="s">
        <v>2503</v>
      </c>
      <c r="H945" s="9"/>
      <c r="I945" s="9" t="n">
        <v>2</v>
      </c>
      <c r="J945" s="9" t="n">
        <v>0</v>
      </c>
      <c r="K945" s="11" t="n">
        <v>0</v>
      </c>
      <c r="L945" s="11" t="n">
        <v>1</v>
      </c>
      <c r="M945" s="9" t="n">
        <v>1</v>
      </c>
      <c r="N945" s="11" t="n">
        <v>0.6</v>
      </c>
      <c r="O945" s="11" t="n">
        <v>0.84</v>
      </c>
      <c r="P945" s="12"/>
      <c r="Q945" s="12"/>
      <c r="R945" s="12"/>
      <c r="S945" s="12"/>
      <c r="T945" s="9" t="s">
        <v>2502</v>
      </c>
      <c r="U945" s="9" t="s">
        <v>2503</v>
      </c>
    </row>
    <row r="946" customFormat="false" ht="15" hidden="false" customHeight="false" outlineLevel="0" collapsed="false">
      <c r="A946" s="7" t="s">
        <v>2443</v>
      </c>
      <c r="B946" s="7" t="s">
        <v>2504</v>
      </c>
      <c r="C946" s="8" t="s">
        <v>909</v>
      </c>
      <c r="D946" s="7" t="s">
        <v>2505</v>
      </c>
      <c r="E946" s="7" t="n">
        <v>32</v>
      </c>
      <c r="F946" s="9" t="s">
        <v>2504</v>
      </c>
      <c r="G946" s="10" t="s">
        <v>2506</v>
      </c>
      <c r="H946" s="9" t="s">
        <v>757</v>
      </c>
      <c r="I946" s="9" t="n">
        <v>2</v>
      </c>
      <c r="J946" s="9" t="n">
        <v>7</v>
      </c>
      <c r="K946" s="11" t="n">
        <v>0.219</v>
      </c>
      <c r="L946" s="11" t="n">
        <v>1</v>
      </c>
      <c r="M946" s="9" t="n">
        <v>1</v>
      </c>
      <c r="N946" s="11" t="n">
        <v>1</v>
      </c>
      <c r="O946" s="11" t="n">
        <v>1</v>
      </c>
      <c r="P946" s="12"/>
      <c r="Q946" s="12"/>
      <c r="R946" s="12"/>
      <c r="S946" s="12"/>
      <c r="T946" s="9" t="s">
        <v>2507</v>
      </c>
      <c r="U946" s="9" t="s">
        <v>2506</v>
      </c>
    </row>
    <row r="947" customFormat="false" ht="15" hidden="false" customHeight="false" outlineLevel="0" collapsed="false">
      <c r="A947" s="9"/>
      <c r="B947" s="9"/>
      <c r="C947" s="9"/>
      <c r="D947" s="9"/>
      <c r="E947" s="9"/>
      <c r="F947" s="9" t="s">
        <v>2504</v>
      </c>
      <c r="G947" s="10" t="s">
        <v>2508</v>
      </c>
      <c r="H947" s="9"/>
      <c r="I947" s="9" t="n">
        <v>6</v>
      </c>
      <c r="J947" s="9" t="n">
        <v>3</v>
      </c>
      <c r="K947" s="11" t="n">
        <v>0.094</v>
      </c>
      <c r="L947" s="11" t="n">
        <v>1</v>
      </c>
      <c r="M947" s="9" t="n">
        <v>0</v>
      </c>
      <c r="N947" s="11" t="n">
        <v>0.875</v>
      </c>
      <c r="O947" s="11" t="n">
        <v>0.631</v>
      </c>
      <c r="P947" s="12"/>
      <c r="Q947" s="12"/>
      <c r="R947" s="12"/>
      <c r="S947" s="12"/>
      <c r="T947" s="9" t="s">
        <v>2507</v>
      </c>
      <c r="U947" s="9" t="s">
        <v>2508</v>
      </c>
    </row>
    <row r="948" customFormat="false" ht="15" hidden="false" customHeight="false" outlineLevel="0" collapsed="false">
      <c r="A948" s="9"/>
      <c r="B948" s="9"/>
      <c r="C948" s="9"/>
      <c r="D948" s="9"/>
      <c r="E948" s="9"/>
      <c r="F948" s="9" t="s">
        <v>2504</v>
      </c>
      <c r="G948" s="10" t="s">
        <v>2509</v>
      </c>
      <c r="H948" s="9"/>
      <c r="I948" s="9" t="n">
        <v>1</v>
      </c>
      <c r="J948" s="9" t="n">
        <v>0</v>
      </c>
      <c r="K948" s="11" t="n">
        <v>0</v>
      </c>
      <c r="L948" s="11" t="n">
        <v>1</v>
      </c>
      <c r="M948" s="9" t="n">
        <v>0</v>
      </c>
      <c r="N948" s="11" t="n">
        <v>1</v>
      </c>
      <c r="O948" s="11" t="n">
        <v>0.6</v>
      </c>
      <c r="P948" s="12"/>
      <c r="Q948" s="12"/>
      <c r="R948" s="12"/>
      <c r="S948" s="12"/>
      <c r="T948" s="9" t="s">
        <v>2507</v>
      </c>
      <c r="U948" s="9" t="s">
        <v>2509</v>
      </c>
    </row>
    <row r="949" customFormat="false" ht="15" hidden="false" customHeight="false" outlineLevel="0" collapsed="false">
      <c r="A949" s="9"/>
      <c r="B949" s="9"/>
      <c r="C949" s="9"/>
      <c r="D949" s="9"/>
      <c r="E949" s="9"/>
      <c r="F949" s="9" t="s">
        <v>2504</v>
      </c>
      <c r="G949" s="10" t="s">
        <v>2510</v>
      </c>
      <c r="H949" s="9"/>
      <c r="I949" s="9" t="n">
        <v>1</v>
      </c>
      <c r="J949" s="9" t="n">
        <v>0</v>
      </c>
      <c r="K949" s="11" t="n">
        <v>0</v>
      </c>
      <c r="L949" s="11" t="n">
        <v>1</v>
      </c>
      <c r="M949" s="9" t="n">
        <v>0</v>
      </c>
      <c r="N949" s="11" t="n">
        <v>0.667</v>
      </c>
      <c r="O949" s="11" t="n">
        <v>0.55</v>
      </c>
      <c r="P949" s="12"/>
      <c r="Q949" s="12"/>
      <c r="R949" s="12"/>
      <c r="S949" s="12"/>
      <c r="T949" s="9" t="s">
        <v>2507</v>
      </c>
      <c r="U949" s="9" t="s">
        <v>2510</v>
      </c>
    </row>
    <row r="950" customFormat="false" ht="15" hidden="false" customHeight="false" outlineLevel="0" collapsed="false">
      <c r="A950" s="7" t="s">
        <v>2443</v>
      </c>
      <c r="B950" s="7" t="s">
        <v>2511</v>
      </c>
      <c r="C950" s="8" t="s">
        <v>962</v>
      </c>
      <c r="D950" s="7" t="s">
        <v>2512</v>
      </c>
      <c r="E950" s="7" t="n">
        <v>169</v>
      </c>
      <c r="F950" s="9" t="s">
        <v>2513</v>
      </c>
      <c r="G950" s="10" t="s">
        <v>2514</v>
      </c>
      <c r="H950" s="9" t="s">
        <v>966</v>
      </c>
      <c r="I950" s="9" t="n">
        <v>4</v>
      </c>
      <c r="J950" s="9" t="n">
        <v>25</v>
      </c>
      <c r="K950" s="11" t="n">
        <v>0.148</v>
      </c>
      <c r="L950" s="11" t="n">
        <v>1</v>
      </c>
      <c r="M950" s="9" t="n">
        <v>1</v>
      </c>
      <c r="N950" s="11" t="n">
        <v>1</v>
      </c>
      <c r="O950" s="11" t="n">
        <v>1</v>
      </c>
      <c r="P950" s="12"/>
      <c r="Q950" s="12"/>
      <c r="R950" s="12"/>
      <c r="S950" s="12"/>
      <c r="T950" s="9" t="s">
        <v>2515</v>
      </c>
      <c r="U950" s="9" t="s">
        <v>2514</v>
      </c>
    </row>
    <row r="951" customFormat="false" ht="15" hidden="false" customHeight="false" outlineLevel="0" collapsed="false">
      <c r="A951" s="9"/>
      <c r="B951" s="9"/>
      <c r="C951" s="9"/>
      <c r="D951" s="9"/>
      <c r="E951" s="9"/>
      <c r="F951" s="9" t="s">
        <v>2511</v>
      </c>
      <c r="G951" s="10" t="s">
        <v>2516</v>
      </c>
      <c r="H951" s="9" t="s">
        <v>2517</v>
      </c>
      <c r="I951" s="9" t="n">
        <v>5</v>
      </c>
      <c r="J951" s="9" t="n">
        <v>42</v>
      </c>
      <c r="K951" s="11" t="n">
        <v>0.249</v>
      </c>
      <c r="L951" s="11" t="n">
        <v>1</v>
      </c>
      <c r="M951" s="9" t="n">
        <v>0</v>
      </c>
      <c r="N951" s="11" t="n">
        <v>1</v>
      </c>
      <c r="O951" s="11" t="n">
        <v>0.7</v>
      </c>
      <c r="P951" s="12"/>
      <c r="Q951" s="12"/>
      <c r="R951" s="12"/>
      <c r="S951" s="12"/>
      <c r="T951" s="9" t="s">
        <v>2515</v>
      </c>
      <c r="U951" s="9" t="s">
        <v>2516</v>
      </c>
    </row>
    <row r="952" customFormat="false" ht="15" hidden="false" customHeight="false" outlineLevel="0" collapsed="false">
      <c r="A952" s="9"/>
      <c r="B952" s="9"/>
      <c r="C952" s="9"/>
      <c r="D952" s="9"/>
      <c r="E952" s="9"/>
      <c r="F952" s="9" t="s">
        <v>2511</v>
      </c>
      <c r="G952" s="10" t="s">
        <v>2518</v>
      </c>
      <c r="H952" s="9" t="s">
        <v>995</v>
      </c>
      <c r="I952" s="9" t="n">
        <v>14</v>
      </c>
      <c r="J952" s="9" t="n">
        <v>229</v>
      </c>
      <c r="K952" s="11" t="n">
        <v>1.355</v>
      </c>
      <c r="L952" s="11" t="n">
        <v>1</v>
      </c>
      <c r="M952" s="9" t="n">
        <v>0</v>
      </c>
      <c r="N952" s="11" t="n">
        <v>0.333</v>
      </c>
      <c r="O952" s="11" t="n">
        <v>0.6</v>
      </c>
      <c r="P952" s="12"/>
      <c r="Q952" s="12"/>
      <c r="R952" s="12"/>
      <c r="S952" s="12"/>
      <c r="T952" s="9" t="s">
        <v>2515</v>
      </c>
      <c r="U952" s="9" t="s">
        <v>2518</v>
      </c>
    </row>
    <row r="953" customFormat="false" ht="15" hidden="false" customHeight="false" outlineLevel="0" collapsed="false">
      <c r="A953" s="9"/>
      <c r="B953" s="9"/>
      <c r="C953" s="9"/>
      <c r="D953" s="9"/>
      <c r="E953" s="9"/>
      <c r="F953" s="9" t="s">
        <v>2519</v>
      </c>
      <c r="G953" s="10" t="s">
        <v>2520</v>
      </c>
      <c r="H953" s="9"/>
      <c r="I953" s="9" t="n">
        <v>3</v>
      </c>
      <c r="J953" s="9" t="n">
        <v>0</v>
      </c>
      <c r="K953" s="11" t="n">
        <v>0</v>
      </c>
      <c r="L953" s="11" t="n">
        <v>1</v>
      </c>
      <c r="M953" s="9" t="n">
        <v>0</v>
      </c>
      <c r="N953" s="11" t="n">
        <v>1</v>
      </c>
      <c r="O953" s="11" t="n">
        <v>0.6</v>
      </c>
      <c r="P953" s="12"/>
      <c r="Q953" s="12"/>
      <c r="R953" s="12"/>
      <c r="S953" s="12"/>
      <c r="T953" s="9" t="s">
        <v>2515</v>
      </c>
      <c r="U953" s="9" t="s">
        <v>2520</v>
      </c>
    </row>
    <row r="954" customFormat="false" ht="15" hidden="false" customHeight="false" outlineLevel="0" collapsed="false">
      <c r="A954" s="9"/>
      <c r="B954" s="9"/>
      <c r="C954" s="9"/>
      <c r="D954" s="9"/>
      <c r="E954" s="9"/>
      <c r="F954" s="9" t="s">
        <v>2511</v>
      </c>
      <c r="G954" s="10" t="s">
        <v>2521</v>
      </c>
      <c r="H954" s="9"/>
      <c r="I954" s="9" t="n">
        <v>11</v>
      </c>
      <c r="J954" s="9" t="n">
        <v>97</v>
      </c>
      <c r="K954" s="11" t="n">
        <v>0.574</v>
      </c>
      <c r="L954" s="11" t="n">
        <v>1</v>
      </c>
      <c r="M954" s="9" t="n">
        <v>0</v>
      </c>
      <c r="N954" s="11" t="n">
        <v>0.185</v>
      </c>
      <c r="O954" s="11" t="n">
        <v>0.578</v>
      </c>
      <c r="P954" s="12"/>
      <c r="Q954" s="12"/>
      <c r="R954" s="12"/>
      <c r="S954" s="12"/>
      <c r="T954" s="9" t="s">
        <v>2515</v>
      </c>
      <c r="U954" s="9" t="s">
        <v>2521</v>
      </c>
    </row>
    <row r="955" customFormat="false" ht="15" hidden="false" customHeight="false" outlineLevel="0" collapsed="false">
      <c r="A955" s="7" t="s">
        <v>2443</v>
      </c>
      <c r="B955" s="7" t="s">
        <v>2522</v>
      </c>
      <c r="C955" s="8" t="s">
        <v>1990</v>
      </c>
      <c r="D955" s="7" t="s">
        <v>2523</v>
      </c>
      <c r="E955" s="7" t="n">
        <v>55</v>
      </c>
      <c r="F955" s="9" t="s">
        <v>2524</v>
      </c>
      <c r="G955" s="10" t="s">
        <v>2525</v>
      </c>
      <c r="H955" s="9"/>
      <c r="I955" s="9" t="n">
        <v>3</v>
      </c>
      <c r="J955" s="9" t="n">
        <v>6</v>
      </c>
      <c r="K955" s="11" t="n">
        <v>0.109</v>
      </c>
      <c r="L955" s="11" t="n">
        <v>1</v>
      </c>
      <c r="M955" s="9" t="n">
        <v>1</v>
      </c>
      <c r="N955" s="11" t="n">
        <v>1</v>
      </c>
      <c r="O955" s="11" t="n">
        <v>1</v>
      </c>
      <c r="P955" s="12"/>
      <c r="Q955" s="12"/>
      <c r="R955" s="12"/>
      <c r="S955" s="12"/>
      <c r="T955" s="9" t="s">
        <v>2526</v>
      </c>
      <c r="U955" s="9" t="s">
        <v>2525</v>
      </c>
    </row>
    <row r="956" customFormat="false" ht="15" hidden="false" customHeight="false" outlineLevel="0" collapsed="false">
      <c r="A956" s="9"/>
      <c r="B956" s="9"/>
      <c r="C956" s="9"/>
      <c r="D956" s="9"/>
      <c r="E956" s="9"/>
      <c r="F956" s="9" t="s">
        <v>2527</v>
      </c>
      <c r="G956" s="10" t="s">
        <v>2528</v>
      </c>
      <c r="H956" s="9" t="s">
        <v>2529</v>
      </c>
      <c r="I956" s="9" t="n">
        <v>1</v>
      </c>
      <c r="J956" s="9" t="n">
        <v>0</v>
      </c>
      <c r="K956" s="11" t="n">
        <v>0</v>
      </c>
      <c r="L956" s="11" t="n">
        <v>1</v>
      </c>
      <c r="M956" s="9" t="n">
        <v>0.5</v>
      </c>
      <c r="N956" s="11" t="n">
        <v>0.667</v>
      </c>
      <c r="O956" s="11" t="n">
        <v>0.7</v>
      </c>
      <c r="P956" s="12"/>
      <c r="Q956" s="12"/>
      <c r="R956" s="12"/>
      <c r="S956" s="12"/>
      <c r="T956" s="9" t="s">
        <v>2526</v>
      </c>
      <c r="U956" s="9" t="s">
        <v>2528</v>
      </c>
    </row>
    <row r="957" customFormat="false" ht="15" hidden="false" customHeight="false" outlineLevel="0" collapsed="false">
      <c r="A957" s="9"/>
      <c r="B957" s="9"/>
      <c r="C957" s="9"/>
      <c r="D957" s="9"/>
      <c r="E957" s="9"/>
      <c r="F957" s="9" t="s">
        <v>2522</v>
      </c>
      <c r="G957" s="10" t="s">
        <v>2530</v>
      </c>
      <c r="H957" s="9" t="s">
        <v>2531</v>
      </c>
      <c r="I957" s="9" t="n">
        <v>2</v>
      </c>
      <c r="J957" s="9" t="n">
        <v>66</v>
      </c>
      <c r="K957" s="11" t="n">
        <v>1.2</v>
      </c>
      <c r="L957" s="11" t="n">
        <v>1</v>
      </c>
      <c r="M957" s="9" t="n">
        <v>0</v>
      </c>
      <c r="N957" s="11" t="n">
        <v>0.667</v>
      </c>
      <c r="O957" s="11" t="n">
        <v>0.65</v>
      </c>
      <c r="P957" s="12"/>
      <c r="Q957" s="12"/>
      <c r="R957" s="12"/>
      <c r="S957" s="12"/>
      <c r="T957" s="9" t="s">
        <v>2526</v>
      </c>
      <c r="U957" s="9" t="s">
        <v>2530</v>
      </c>
    </row>
    <row r="958" customFormat="false" ht="15" hidden="false" customHeight="false" outlineLevel="0" collapsed="false">
      <c r="A958" s="9"/>
      <c r="B958" s="9"/>
      <c r="C958" s="9"/>
      <c r="D958" s="9"/>
      <c r="E958" s="9"/>
      <c r="F958" s="9" t="s">
        <v>2532</v>
      </c>
      <c r="G958" s="10" t="s">
        <v>2533</v>
      </c>
      <c r="H958" s="9"/>
      <c r="I958" s="9" t="n">
        <v>1</v>
      </c>
      <c r="J958" s="9" t="n">
        <v>6</v>
      </c>
      <c r="K958" s="11" t="n">
        <v>0.109</v>
      </c>
      <c r="L958" s="11" t="n">
        <v>1</v>
      </c>
      <c r="M958" s="9" t="n">
        <v>0</v>
      </c>
      <c r="N958" s="11" t="n">
        <v>0.667</v>
      </c>
      <c r="O958" s="11" t="n">
        <v>0.65</v>
      </c>
      <c r="P958" s="12"/>
      <c r="Q958" s="12"/>
      <c r="R958" s="12"/>
      <c r="S958" s="12"/>
      <c r="T958" s="9" t="s">
        <v>2526</v>
      </c>
      <c r="U958" s="9" t="s">
        <v>2533</v>
      </c>
    </row>
    <row r="959" customFormat="false" ht="15" hidden="false" customHeight="false" outlineLevel="0" collapsed="false">
      <c r="A959" s="7" t="s">
        <v>2443</v>
      </c>
      <c r="B959" s="7" t="s">
        <v>2534</v>
      </c>
      <c r="C959" s="8" t="s">
        <v>2535</v>
      </c>
      <c r="D959" s="7" t="s">
        <v>2536</v>
      </c>
      <c r="E959" s="7" t="n">
        <v>29</v>
      </c>
      <c r="F959" s="9" t="s">
        <v>2534</v>
      </c>
      <c r="G959" s="10" t="s">
        <v>2537</v>
      </c>
      <c r="H959" s="9" t="s">
        <v>2535</v>
      </c>
      <c r="I959" s="9" t="n">
        <v>2</v>
      </c>
      <c r="J959" s="9" t="n">
        <v>20</v>
      </c>
      <c r="K959" s="11" t="n">
        <v>0.69</v>
      </c>
      <c r="L959" s="11" t="n">
        <v>1</v>
      </c>
      <c r="M959" s="9" t="n">
        <v>1</v>
      </c>
      <c r="N959" s="11" t="n">
        <v>1</v>
      </c>
      <c r="O959" s="11" t="n">
        <v>1</v>
      </c>
      <c r="P959" s="12"/>
      <c r="Q959" s="12"/>
      <c r="R959" s="12"/>
      <c r="S959" s="12"/>
      <c r="T959" s="9" t="s">
        <v>2538</v>
      </c>
      <c r="U959" s="9" t="s">
        <v>2537</v>
      </c>
    </row>
    <row r="960" customFormat="false" ht="15" hidden="false" customHeight="false" outlineLevel="0" collapsed="false">
      <c r="A960" s="9"/>
      <c r="B960" s="9"/>
      <c r="C960" s="9"/>
      <c r="D960" s="9"/>
      <c r="E960" s="9"/>
      <c r="F960" s="9" t="s">
        <v>2539</v>
      </c>
      <c r="G960" s="10" t="s">
        <v>2540</v>
      </c>
      <c r="H960" s="9" t="s">
        <v>2535</v>
      </c>
      <c r="I960" s="9" t="n">
        <v>2</v>
      </c>
      <c r="J960" s="9" t="n">
        <v>6</v>
      </c>
      <c r="K960" s="11" t="n">
        <v>0.207</v>
      </c>
      <c r="L960" s="11" t="n">
        <v>1</v>
      </c>
      <c r="M960" s="9" t="n">
        <v>1</v>
      </c>
      <c r="N960" s="11" t="n">
        <v>1</v>
      </c>
      <c r="O960" s="11" t="n">
        <v>1</v>
      </c>
      <c r="P960" s="12"/>
      <c r="Q960" s="12"/>
      <c r="R960" s="12"/>
      <c r="S960" s="12"/>
      <c r="T960" s="9" t="s">
        <v>2538</v>
      </c>
      <c r="U960" s="9" t="s">
        <v>2540</v>
      </c>
    </row>
    <row r="961" customFormat="false" ht="15" hidden="false" customHeight="false" outlineLevel="0" collapsed="false">
      <c r="A961" s="7" t="s">
        <v>2443</v>
      </c>
      <c r="B961" s="7" t="s">
        <v>2541</v>
      </c>
      <c r="C961" s="8" t="s">
        <v>333</v>
      </c>
      <c r="D961" s="7" t="s">
        <v>2542</v>
      </c>
      <c r="E961" s="7" t="n">
        <v>2</v>
      </c>
      <c r="F961" s="9" t="s">
        <v>2541</v>
      </c>
      <c r="G961" s="10" t="s">
        <v>2543</v>
      </c>
      <c r="H961" s="9" t="s">
        <v>333</v>
      </c>
      <c r="I961" s="9" t="n">
        <v>2</v>
      </c>
      <c r="J961" s="9" t="n">
        <v>1</v>
      </c>
      <c r="K961" s="11" t="n">
        <v>0.5</v>
      </c>
      <c r="L961" s="11" t="n">
        <v>1</v>
      </c>
      <c r="M961" s="9" t="n">
        <v>1</v>
      </c>
      <c r="N961" s="11" t="n">
        <v>1</v>
      </c>
      <c r="O961" s="11" t="n">
        <v>1</v>
      </c>
      <c r="P961" s="12"/>
      <c r="Q961" s="12"/>
      <c r="R961" s="12"/>
      <c r="S961" s="12"/>
      <c r="T961" s="9" t="s">
        <v>2544</v>
      </c>
      <c r="U961" s="9" t="s">
        <v>2543</v>
      </c>
    </row>
    <row r="962" customFormat="false" ht="15" hidden="false" customHeight="false" outlineLevel="0" collapsed="false">
      <c r="A962" s="9"/>
      <c r="B962" s="9"/>
      <c r="C962" s="9"/>
      <c r="D962" s="9"/>
      <c r="E962" s="9"/>
      <c r="F962" s="9" t="s">
        <v>2545</v>
      </c>
      <c r="G962" s="10" t="s">
        <v>2546</v>
      </c>
      <c r="H962" s="9" t="s">
        <v>333</v>
      </c>
      <c r="I962" s="9" t="n">
        <v>1</v>
      </c>
      <c r="J962" s="9" t="n">
        <v>0</v>
      </c>
      <c r="K962" s="11" t="n">
        <v>0</v>
      </c>
      <c r="L962" s="11" t="n">
        <v>1</v>
      </c>
      <c r="M962" s="9" t="n">
        <v>1</v>
      </c>
      <c r="N962" s="11" t="n">
        <v>1</v>
      </c>
      <c r="O962" s="11" t="n">
        <v>0.9</v>
      </c>
      <c r="P962" s="12"/>
      <c r="Q962" s="12"/>
      <c r="R962" s="12"/>
      <c r="S962" s="12"/>
      <c r="T962" s="9" t="s">
        <v>2544</v>
      </c>
      <c r="U962" s="9" t="s">
        <v>2546</v>
      </c>
    </row>
    <row r="963" customFormat="false" ht="15" hidden="false" customHeight="false" outlineLevel="0" collapsed="false">
      <c r="A963" s="7" t="s">
        <v>2443</v>
      </c>
      <c r="B963" s="7" t="s">
        <v>2547</v>
      </c>
      <c r="C963" s="8" t="s">
        <v>333</v>
      </c>
      <c r="D963" s="7" t="s">
        <v>2548</v>
      </c>
      <c r="E963" s="7" t="n">
        <v>8</v>
      </c>
      <c r="F963" s="9" t="s">
        <v>2547</v>
      </c>
      <c r="G963" s="10" t="s">
        <v>2549</v>
      </c>
      <c r="H963" s="9" t="s">
        <v>333</v>
      </c>
      <c r="I963" s="9" t="n">
        <v>5</v>
      </c>
      <c r="J963" s="9" t="n">
        <v>5</v>
      </c>
      <c r="K963" s="11" t="n">
        <v>0.625</v>
      </c>
      <c r="L963" s="11" t="n">
        <v>1</v>
      </c>
      <c r="M963" s="9" t="n">
        <v>1</v>
      </c>
      <c r="N963" s="11" t="n">
        <v>0.667</v>
      </c>
      <c r="O963" s="11" t="n">
        <v>0.95</v>
      </c>
      <c r="P963" s="12"/>
      <c r="Q963" s="12"/>
      <c r="R963" s="12"/>
      <c r="S963" s="12"/>
      <c r="T963" s="9" t="s">
        <v>2550</v>
      </c>
      <c r="U963" s="9" t="s">
        <v>2549</v>
      </c>
    </row>
    <row r="964" customFormat="false" ht="15" hidden="false" customHeight="false" outlineLevel="0" collapsed="false">
      <c r="A964" s="7" t="s">
        <v>2443</v>
      </c>
      <c r="B964" s="7" t="s">
        <v>2551</v>
      </c>
      <c r="C964" s="8" t="s">
        <v>1573</v>
      </c>
      <c r="D964" s="7" t="s">
        <v>2552</v>
      </c>
      <c r="E964" s="7" t="n">
        <v>26</v>
      </c>
      <c r="F964" s="9" t="s">
        <v>2551</v>
      </c>
      <c r="G964" s="10" t="s">
        <v>2553</v>
      </c>
      <c r="H964" s="9" t="s">
        <v>1573</v>
      </c>
      <c r="I964" s="9" t="n">
        <v>2</v>
      </c>
      <c r="J964" s="9" t="n">
        <v>3</v>
      </c>
      <c r="K964" s="11" t="n">
        <v>0.13</v>
      </c>
      <c r="L964" s="11" t="n">
        <v>1</v>
      </c>
      <c r="M964" s="9" t="n">
        <v>1</v>
      </c>
      <c r="N964" s="11" t="n">
        <v>1</v>
      </c>
      <c r="O964" s="11" t="n">
        <v>1</v>
      </c>
      <c r="P964" s="12"/>
      <c r="Q964" s="12"/>
      <c r="R964" s="12"/>
      <c r="S964" s="12"/>
      <c r="T964" s="9" t="s">
        <v>2554</v>
      </c>
      <c r="U964" s="9" t="s">
        <v>2553</v>
      </c>
    </row>
    <row r="965" customFormat="false" ht="15" hidden="false" customHeight="false" outlineLevel="0" collapsed="false">
      <c r="A965" s="9"/>
      <c r="B965" s="9"/>
      <c r="C965" s="9"/>
      <c r="D965" s="9"/>
      <c r="E965" s="9"/>
      <c r="F965" s="9" t="s">
        <v>2555</v>
      </c>
      <c r="G965" s="10" t="s">
        <v>2556</v>
      </c>
      <c r="H965" s="9" t="s">
        <v>1576</v>
      </c>
      <c r="I965" s="9" t="n">
        <v>1</v>
      </c>
      <c r="J965" s="9" t="n">
        <v>1</v>
      </c>
      <c r="K965" s="11" t="n">
        <v>0.043</v>
      </c>
      <c r="L965" s="11" t="n">
        <v>1</v>
      </c>
      <c r="M965" s="9" t="n">
        <v>0</v>
      </c>
      <c r="N965" s="11" t="n">
        <v>1</v>
      </c>
      <c r="O965" s="11" t="n">
        <v>0.65</v>
      </c>
      <c r="P965" s="12"/>
      <c r="Q965" s="12"/>
      <c r="R965" s="12"/>
      <c r="S965" s="12"/>
      <c r="T965" s="9" t="s">
        <v>2554</v>
      </c>
      <c r="U965" s="9" t="s">
        <v>2556</v>
      </c>
    </row>
    <row r="966" customFormat="false" ht="15" hidden="false" customHeight="false" outlineLevel="0" collapsed="false">
      <c r="A966" s="9"/>
      <c r="B966" s="9"/>
      <c r="C966" s="9"/>
      <c r="D966" s="9"/>
      <c r="E966" s="9"/>
      <c r="F966" s="9" t="s">
        <v>2551</v>
      </c>
      <c r="G966" s="10" t="s">
        <v>2557</v>
      </c>
      <c r="H966" s="9"/>
      <c r="I966" s="9" t="n">
        <v>2</v>
      </c>
      <c r="J966" s="9" t="n">
        <v>2</v>
      </c>
      <c r="K966" s="11" t="n">
        <v>0.087</v>
      </c>
      <c r="L966" s="11" t="n">
        <v>1</v>
      </c>
      <c r="M966" s="9" t="n">
        <v>0</v>
      </c>
      <c r="N966" s="11" t="n">
        <v>0.8</v>
      </c>
      <c r="O966" s="11" t="n">
        <v>0.62</v>
      </c>
      <c r="P966" s="12"/>
      <c r="Q966" s="12"/>
      <c r="R966" s="12"/>
      <c r="S966" s="12"/>
      <c r="T966" s="9" t="s">
        <v>2554</v>
      </c>
      <c r="U966" s="9" t="s">
        <v>2557</v>
      </c>
    </row>
    <row r="967" customFormat="false" ht="15" hidden="false" customHeight="false" outlineLevel="0" collapsed="false">
      <c r="A967" s="9"/>
      <c r="B967" s="9"/>
      <c r="C967" s="9"/>
      <c r="D967" s="9"/>
      <c r="E967" s="9"/>
      <c r="F967" s="9" t="s">
        <v>2558</v>
      </c>
      <c r="G967" s="10" t="s">
        <v>2559</v>
      </c>
      <c r="H967" s="9"/>
      <c r="I967" s="9" t="n">
        <v>1</v>
      </c>
      <c r="J967" s="9" t="n">
        <v>0</v>
      </c>
      <c r="K967" s="11" t="n">
        <v>0</v>
      </c>
      <c r="L967" s="11" t="n">
        <v>1</v>
      </c>
      <c r="M967" s="9" t="n">
        <v>0</v>
      </c>
      <c r="N967" s="11" t="n">
        <v>0.667</v>
      </c>
      <c r="O967" s="11" t="n">
        <v>0.55</v>
      </c>
      <c r="P967" s="12"/>
      <c r="Q967" s="12"/>
      <c r="R967" s="12"/>
      <c r="S967" s="12"/>
      <c r="T967" s="9" t="s">
        <v>2554</v>
      </c>
      <c r="U967" s="9" t="s">
        <v>2559</v>
      </c>
    </row>
    <row r="968" customFormat="false" ht="15" hidden="false" customHeight="false" outlineLevel="0" collapsed="false">
      <c r="A968" s="7" t="s">
        <v>2443</v>
      </c>
      <c r="B968" s="7" t="s">
        <v>2560</v>
      </c>
      <c r="C968" s="8" t="s">
        <v>851</v>
      </c>
      <c r="D968" s="7" t="s">
        <v>2561</v>
      </c>
      <c r="E968" s="7" t="n">
        <v>13</v>
      </c>
      <c r="F968" s="9" t="s">
        <v>2560</v>
      </c>
      <c r="G968" s="10" t="s">
        <v>2562</v>
      </c>
      <c r="H968" s="9" t="s">
        <v>854</v>
      </c>
      <c r="I968" s="9" t="n">
        <v>5</v>
      </c>
      <c r="J968" s="9" t="n">
        <v>13</v>
      </c>
      <c r="K968" s="11" t="n">
        <v>1</v>
      </c>
      <c r="L968" s="11" t="n">
        <v>1</v>
      </c>
      <c r="M968" s="9" t="n">
        <v>1</v>
      </c>
      <c r="N968" s="11" t="n">
        <v>1</v>
      </c>
      <c r="O968" s="11" t="n">
        <v>1</v>
      </c>
      <c r="P968" s="12"/>
      <c r="Q968" s="12"/>
      <c r="R968" s="12"/>
      <c r="S968" s="12"/>
      <c r="T968" s="9" t="s">
        <v>2563</v>
      </c>
      <c r="U968" s="9" t="s">
        <v>2562</v>
      </c>
    </row>
    <row r="969" customFormat="false" ht="15" hidden="false" customHeight="false" outlineLevel="0" collapsed="false">
      <c r="A969" s="9"/>
      <c r="B969" s="9"/>
      <c r="C969" s="9"/>
      <c r="D969" s="9"/>
      <c r="E969" s="9"/>
      <c r="F969" s="9" t="s">
        <v>2560</v>
      </c>
      <c r="G969" s="10" t="s">
        <v>2564</v>
      </c>
      <c r="H969" s="9" t="s">
        <v>854</v>
      </c>
      <c r="I969" s="9" t="n">
        <v>1</v>
      </c>
      <c r="J969" s="9" t="n">
        <v>0</v>
      </c>
      <c r="K969" s="11" t="n">
        <v>0</v>
      </c>
      <c r="L969" s="11" t="n">
        <v>1</v>
      </c>
      <c r="M969" s="9" t="n">
        <v>1</v>
      </c>
      <c r="N969" s="11" t="n">
        <v>0.667</v>
      </c>
      <c r="O969" s="11" t="n">
        <v>0.85</v>
      </c>
      <c r="P969" s="12"/>
      <c r="Q969" s="12"/>
      <c r="R969" s="12"/>
      <c r="S969" s="12"/>
      <c r="T969" s="9" t="s">
        <v>2563</v>
      </c>
      <c r="U969" s="9" t="s">
        <v>2564</v>
      </c>
    </row>
    <row r="970" customFormat="false" ht="15" hidden="false" customHeight="false" outlineLevel="0" collapsed="false">
      <c r="A970" s="7" t="s">
        <v>2443</v>
      </c>
      <c r="B970" s="7" t="s">
        <v>2565</v>
      </c>
      <c r="C970" s="8" t="s">
        <v>1314</v>
      </c>
      <c r="D970" s="7" t="s">
        <v>2566</v>
      </c>
      <c r="E970" s="7" t="n">
        <v>22</v>
      </c>
      <c r="F970" s="9" t="s">
        <v>2565</v>
      </c>
      <c r="G970" s="10" t="s">
        <v>2567</v>
      </c>
      <c r="H970" s="9" t="s">
        <v>2568</v>
      </c>
      <c r="I970" s="9" t="n">
        <v>3</v>
      </c>
      <c r="J970" s="9" t="n">
        <v>13</v>
      </c>
      <c r="K970" s="11" t="n">
        <v>0.591</v>
      </c>
      <c r="L970" s="11" t="n">
        <v>1</v>
      </c>
      <c r="M970" s="9" t="n">
        <v>1</v>
      </c>
      <c r="N970" s="11" t="n">
        <v>1</v>
      </c>
      <c r="O970" s="11" t="n">
        <v>1</v>
      </c>
      <c r="P970" s="12"/>
      <c r="Q970" s="12"/>
      <c r="R970" s="12"/>
      <c r="S970" s="12"/>
      <c r="T970" s="9" t="s">
        <v>2569</v>
      </c>
      <c r="U970" s="9" t="s">
        <v>2567</v>
      </c>
    </row>
    <row r="971" customFormat="false" ht="15" hidden="false" customHeight="false" outlineLevel="0" collapsed="false">
      <c r="A971" s="9"/>
      <c r="B971" s="9"/>
      <c r="C971" s="9"/>
      <c r="D971" s="9"/>
      <c r="E971" s="9"/>
      <c r="F971" s="9" t="s">
        <v>2565</v>
      </c>
      <c r="G971" s="10" t="s">
        <v>2570</v>
      </c>
      <c r="H971" s="9" t="s">
        <v>2568</v>
      </c>
      <c r="I971" s="9" t="n">
        <v>1</v>
      </c>
      <c r="J971" s="9" t="n">
        <v>1</v>
      </c>
      <c r="K971" s="11" t="n">
        <v>0.045</v>
      </c>
      <c r="L971" s="11" t="n">
        <v>1</v>
      </c>
      <c r="M971" s="9" t="n">
        <v>1</v>
      </c>
      <c r="N971" s="11" t="n">
        <v>1</v>
      </c>
      <c r="O971" s="11" t="n">
        <v>0.95</v>
      </c>
      <c r="P971" s="12"/>
      <c r="Q971" s="12"/>
      <c r="R971" s="12"/>
      <c r="S971" s="12"/>
      <c r="T971" s="9" t="s">
        <v>2569</v>
      </c>
      <c r="U971" s="9" t="s">
        <v>2570</v>
      </c>
    </row>
    <row r="972" customFormat="false" ht="15" hidden="false" customHeight="false" outlineLevel="0" collapsed="false">
      <c r="A972" s="9"/>
      <c r="B972" s="9"/>
      <c r="C972" s="9"/>
      <c r="D972" s="9"/>
      <c r="E972" s="9"/>
      <c r="F972" s="9" t="s">
        <v>2565</v>
      </c>
      <c r="G972" s="10" t="s">
        <v>2571</v>
      </c>
      <c r="H972" s="9"/>
      <c r="I972" s="9" t="n">
        <v>1</v>
      </c>
      <c r="J972" s="9" t="n">
        <v>0</v>
      </c>
      <c r="K972" s="11" t="n">
        <v>0</v>
      </c>
      <c r="L972" s="11" t="n">
        <v>1</v>
      </c>
      <c r="M972" s="9" t="n">
        <v>0</v>
      </c>
      <c r="N972" s="11" t="n">
        <v>0</v>
      </c>
      <c r="O972" s="11" t="n">
        <v>0.45</v>
      </c>
      <c r="P972" s="12"/>
      <c r="Q972" s="12"/>
      <c r="R972" s="12"/>
      <c r="S972" s="12"/>
      <c r="T972" s="9" t="s">
        <v>2569</v>
      </c>
      <c r="U972" s="9" t="s">
        <v>2571</v>
      </c>
    </row>
    <row r="973" customFormat="false" ht="15" hidden="false" customHeight="false" outlineLevel="0" collapsed="false">
      <c r="A973" s="7" t="s">
        <v>2443</v>
      </c>
      <c r="B973" s="7" t="s">
        <v>2572</v>
      </c>
      <c r="C973" s="8" t="s">
        <v>1878</v>
      </c>
      <c r="D973" s="7" t="s">
        <v>2573</v>
      </c>
      <c r="E973" s="7" t="n">
        <v>27</v>
      </c>
      <c r="F973" s="9" t="s">
        <v>2572</v>
      </c>
      <c r="G973" s="10" t="s">
        <v>2574</v>
      </c>
      <c r="H973" s="9" t="s">
        <v>1878</v>
      </c>
      <c r="I973" s="9" t="n">
        <v>2</v>
      </c>
      <c r="J973" s="9" t="n">
        <v>7</v>
      </c>
      <c r="K973" s="11" t="n">
        <v>0.259</v>
      </c>
      <c r="L973" s="11" t="n">
        <v>1</v>
      </c>
      <c r="M973" s="9" t="n">
        <v>1</v>
      </c>
      <c r="N973" s="11" t="n">
        <v>0.6</v>
      </c>
      <c r="O973" s="11" t="n">
        <v>0.94</v>
      </c>
      <c r="P973" s="12"/>
      <c r="Q973" s="12"/>
      <c r="R973" s="12"/>
      <c r="S973" s="12"/>
      <c r="T973" s="9" t="s">
        <v>2575</v>
      </c>
      <c r="U973" s="9" t="s">
        <v>2574</v>
      </c>
    </row>
    <row r="974" customFormat="false" ht="15" hidden="false" customHeight="false" outlineLevel="0" collapsed="false">
      <c r="A974" s="9"/>
      <c r="B974" s="9"/>
      <c r="C974" s="9"/>
      <c r="D974" s="9"/>
      <c r="E974" s="9"/>
      <c r="F974" s="9" t="s">
        <v>2572</v>
      </c>
      <c r="G974" s="10" t="s">
        <v>2576</v>
      </c>
      <c r="H974" s="9"/>
      <c r="I974" s="9" t="n">
        <v>1</v>
      </c>
      <c r="J974" s="9" t="n">
        <v>0</v>
      </c>
      <c r="K974" s="11" t="n">
        <v>0</v>
      </c>
      <c r="L974" s="11" t="n">
        <v>1</v>
      </c>
      <c r="M974" s="9" t="n">
        <v>0</v>
      </c>
      <c r="N974" s="11" t="n">
        <v>1</v>
      </c>
      <c r="O974" s="11" t="n">
        <v>0.6</v>
      </c>
      <c r="P974" s="12"/>
      <c r="Q974" s="12"/>
      <c r="R974" s="12"/>
      <c r="S974" s="12"/>
      <c r="T974" s="9" t="s">
        <v>2575</v>
      </c>
      <c r="U974" s="9" t="s">
        <v>2576</v>
      </c>
    </row>
    <row r="975" customFormat="false" ht="15" hidden="false" customHeight="false" outlineLevel="0" collapsed="false">
      <c r="A975" s="7" t="s">
        <v>2577</v>
      </c>
      <c r="B975" s="7" t="s">
        <v>2578</v>
      </c>
      <c r="C975" s="8" t="s">
        <v>2310</v>
      </c>
      <c r="D975" s="7" t="s">
        <v>2138</v>
      </c>
      <c r="E975" s="7" t="n">
        <v>30</v>
      </c>
      <c r="F975" s="9" t="s">
        <v>2579</v>
      </c>
      <c r="G975" s="10" t="s">
        <v>2580</v>
      </c>
      <c r="H975" s="9"/>
      <c r="I975" s="9" t="n">
        <v>1</v>
      </c>
      <c r="J975" s="9" t="n">
        <v>1</v>
      </c>
      <c r="K975" s="11" t="n">
        <v>0.033</v>
      </c>
      <c r="L975" s="11" t="n">
        <v>0.774</v>
      </c>
      <c r="M975" s="9" t="n">
        <v>0</v>
      </c>
      <c r="N975" s="11" t="n">
        <v>1</v>
      </c>
      <c r="O975" s="11" t="n">
        <v>0.548</v>
      </c>
      <c r="P975" s="12"/>
      <c r="Q975" s="12"/>
      <c r="R975" s="12"/>
      <c r="S975" s="12"/>
      <c r="T975" s="9" t="s">
        <v>2581</v>
      </c>
      <c r="U975" s="9" t="s">
        <v>2580</v>
      </c>
    </row>
    <row r="976" customFormat="false" ht="15" hidden="false" customHeight="false" outlineLevel="0" collapsed="false">
      <c r="A976" s="7" t="s">
        <v>2577</v>
      </c>
      <c r="B976" s="7" t="s">
        <v>2582</v>
      </c>
      <c r="C976" s="8" t="s">
        <v>58</v>
      </c>
      <c r="D976" s="7" t="s">
        <v>2583</v>
      </c>
      <c r="E976" s="7" t="n">
        <v>5105</v>
      </c>
      <c r="F976" s="9" t="s">
        <v>2584</v>
      </c>
      <c r="G976" s="10" t="s">
        <v>2585</v>
      </c>
      <c r="H976" s="9" t="s">
        <v>58</v>
      </c>
      <c r="I976" s="9" t="n">
        <v>25</v>
      </c>
      <c r="J976" s="9" t="n">
        <v>688</v>
      </c>
      <c r="K976" s="11" t="n">
        <v>0.145</v>
      </c>
      <c r="L976" s="11" t="n">
        <v>0.576</v>
      </c>
      <c r="M976" s="9" t="n">
        <v>1</v>
      </c>
      <c r="N976" s="11" t="n">
        <v>0.852</v>
      </c>
      <c r="O976" s="11" t="n">
        <v>0.787</v>
      </c>
      <c r="P976" s="12"/>
      <c r="Q976" s="12"/>
      <c r="R976" s="12"/>
      <c r="S976" s="12"/>
      <c r="T976" s="9" t="s">
        <v>2586</v>
      </c>
      <c r="U976" s="9" t="s">
        <v>2585</v>
      </c>
    </row>
    <row r="977" customFormat="false" ht="15" hidden="false" customHeight="false" outlineLevel="0" collapsed="false">
      <c r="A977" s="9"/>
      <c r="B977" s="9"/>
      <c r="C977" s="9"/>
      <c r="D977" s="9"/>
      <c r="E977" s="9"/>
      <c r="F977" s="9" t="s">
        <v>2587</v>
      </c>
      <c r="G977" s="10" t="s">
        <v>2588</v>
      </c>
      <c r="H977" s="9"/>
      <c r="I977" s="9" t="n">
        <v>8</v>
      </c>
      <c r="J977" s="9" t="n">
        <v>525</v>
      </c>
      <c r="K977" s="11" t="n">
        <v>0.111</v>
      </c>
      <c r="L977" s="11" t="n">
        <v>1</v>
      </c>
      <c r="M977" s="9" t="n">
        <v>0</v>
      </c>
      <c r="N977" s="11" t="n">
        <v>0.625</v>
      </c>
      <c r="O977" s="11" t="n">
        <v>0.644</v>
      </c>
      <c r="P977" s="12"/>
      <c r="Q977" s="12"/>
      <c r="R977" s="12"/>
      <c r="S977" s="12"/>
      <c r="T977" s="9" t="s">
        <v>2586</v>
      </c>
      <c r="U977" s="9" t="s">
        <v>2588</v>
      </c>
    </row>
    <row r="978" customFormat="false" ht="15" hidden="false" customHeight="false" outlineLevel="0" collapsed="false">
      <c r="A978" s="9"/>
      <c r="B978" s="9"/>
      <c r="C978" s="9"/>
      <c r="D978" s="9"/>
      <c r="E978" s="9"/>
      <c r="F978" s="9" t="s">
        <v>2582</v>
      </c>
      <c r="G978" s="10" t="s">
        <v>2589</v>
      </c>
      <c r="H978" s="9" t="s">
        <v>1414</v>
      </c>
      <c r="I978" s="9" t="n">
        <v>137</v>
      </c>
      <c r="J978" s="9" t="n">
        <v>1915</v>
      </c>
      <c r="K978" s="11" t="n">
        <v>0.403</v>
      </c>
      <c r="L978" s="11" t="n">
        <v>1</v>
      </c>
      <c r="M978" s="9" t="n">
        <v>0</v>
      </c>
      <c r="N978" s="11" t="n">
        <v>0.258</v>
      </c>
      <c r="O978" s="11" t="n">
        <v>0.589</v>
      </c>
      <c r="P978" s="12"/>
      <c r="Q978" s="12"/>
      <c r="R978" s="12"/>
      <c r="S978" s="12"/>
      <c r="T978" s="9" t="s">
        <v>2586</v>
      </c>
      <c r="U978" s="9" t="s">
        <v>2589</v>
      </c>
    </row>
    <row r="979" customFormat="false" ht="15" hidden="false" customHeight="false" outlineLevel="0" collapsed="false">
      <c r="A979" s="9"/>
      <c r="B979" s="9"/>
      <c r="C979" s="9"/>
      <c r="D979" s="9"/>
      <c r="E979" s="9"/>
      <c r="F979" s="9" t="s">
        <v>2590</v>
      </c>
      <c r="G979" s="10" t="s">
        <v>2591</v>
      </c>
      <c r="H979" s="9" t="s">
        <v>2592</v>
      </c>
      <c r="I979" s="9" t="n">
        <v>9</v>
      </c>
      <c r="J979" s="9" t="n">
        <v>100</v>
      </c>
      <c r="K979" s="11" t="n">
        <v>0.021</v>
      </c>
      <c r="L979" s="11" t="n">
        <v>1</v>
      </c>
      <c r="M979" s="9" t="n">
        <v>0</v>
      </c>
      <c r="N979" s="11" t="n">
        <v>0.929</v>
      </c>
      <c r="O979" s="11" t="n">
        <v>0.589</v>
      </c>
      <c r="P979" s="12"/>
      <c r="Q979" s="12"/>
      <c r="R979" s="12"/>
      <c r="S979" s="12"/>
      <c r="T979" s="9" t="s">
        <v>2586</v>
      </c>
      <c r="U979" s="9" t="s">
        <v>2591</v>
      </c>
    </row>
    <row r="980" customFormat="false" ht="15" hidden="false" customHeight="false" outlineLevel="0" collapsed="false">
      <c r="A980" s="9"/>
      <c r="B980" s="9"/>
      <c r="C980" s="9"/>
      <c r="D980" s="9"/>
      <c r="E980" s="9"/>
      <c r="F980" s="9" t="s">
        <v>2582</v>
      </c>
      <c r="G980" s="10" t="s">
        <v>2593</v>
      </c>
      <c r="H980" s="9" t="s">
        <v>2594</v>
      </c>
      <c r="I980" s="9" t="n">
        <v>43</v>
      </c>
      <c r="J980" s="9" t="n">
        <v>2854</v>
      </c>
      <c r="K980" s="11" t="n">
        <v>0.601</v>
      </c>
      <c r="L980" s="11" t="n">
        <v>1</v>
      </c>
      <c r="M980" s="9" t="n">
        <v>0</v>
      </c>
      <c r="N980" s="11" t="n">
        <v>0.22</v>
      </c>
      <c r="O980" s="11" t="n">
        <v>0.583</v>
      </c>
      <c r="P980" s="12"/>
      <c r="Q980" s="12"/>
      <c r="R980" s="12"/>
      <c r="S980" s="12"/>
      <c r="T980" s="9" t="s">
        <v>2586</v>
      </c>
      <c r="U980" s="9" t="s">
        <v>2593</v>
      </c>
    </row>
    <row r="981" customFormat="false" ht="15" hidden="false" customHeight="false" outlineLevel="0" collapsed="false">
      <c r="A981" s="7" t="s">
        <v>2577</v>
      </c>
      <c r="B981" s="7" t="s">
        <v>2595</v>
      </c>
      <c r="C981" s="8" t="s">
        <v>1681</v>
      </c>
      <c r="D981" s="7" t="s">
        <v>2596</v>
      </c>
      <c r="E981" s="7" t="n">
        <v>127</v>
      </c>
      <c r="F981" s="9" t="s">
        <v>2597</v>
      </c>
      <c r="G981" s="10" t="s">
        <v>2598</v>
      </c>
      <c r="H981" s="9"/>
      <c r="I981" s="9" t="n">
        <v>9</v>
      </c>
      <c r="J981" s="9" t="n">
        <v>55</v>
      </c>
      <c r="K981" s="11" t="n">
        <v>0.437</v>
      </c>
      <c r="L981" s="11" t="n">
        <v>0.882</v>
      </c>
      <c r="M981" s="9" t="n">
        <v>1</v>
      </c>
      <c r="N981" s="11" t="n">
        <v>0.692</v>
      </c>
      <c r="O981" s="11" t="n">
        <v>0.901</v>
      </c>
      <c r="P981" s="12"/>
      <c r="Q981" s="12"/>
      <c r="R981" s="12"/>
      <c r="S981" s="12"/>
      <c r="T981" s="9" t="s">
        <v>2599</v>
      </c>
      <c r="U981" s="9" t="s">
        <v>2598</v>
      </c>
    </row>
    <row r="982" customFormat="false" ht="15" hidden="false" customHeight="false" outlineLevel="0" collapsed="false">
      <c r="A982" s="7" t="s">
        <v>2577</v>
      </c>
      <c r="B982" s="7" t="s">
        <v>2600</v>
      </c>
      <c r="C982" s="8" t="s">
        <v>1092</v>
      </c>
      <c r="D982" s="7" t="s">
        <v>2601</v>
      </c>
      <c r="E982" s="7" t="n">
        <v>25</v>
      </c>
      <c r="F982" s="9" t="s">
        <v>2600</v>
      </c>
      <c r="G982" s="10" t="s">
        <v>2602</v>
      </c>
      <c r="H982" s="9"/>
      <c r="I982" s="9" t="n">
        <v>3</v>
      </c>
      <c r="J982" s="9" t="n">
        <v>1</v>
      </c>
      <c r="K982" s="11" t="n">
        <v>0.04</v>
      </c>
      <c r="L982" s="11" t="n">
        <v>0.6</v>
      </c>
      <c r="M982" s="9" t="n">
        <v>1</v>
      </c>
      <c r="N982" s="11" t="n">
        <v>0.6</v>
      </c>
      <c r="O982" s="11" t="n">
        <v>0.71</v>
      </c>
      <c r="P982" s="12"/>
      <c r="Q982" s="12"/>
      <c r="R982" s="12"/>
      <c r="S982" s="12"/>
      <c r="T982" s="9" t="s">
        <v>2603</v>
      </c>
      <c r="U982" s="9" t="s">
        <v>2602</v>
      </c>
    </row>
    <row r="983" customFormat="false" ht="15" hidden="false" customHeight="false" outlineLevel="0" collapsed="false">
      <c r="A983" s="9"/>
      <c r="B983" s="9"/>
      <c r="C983" s="9"/>
      <c r="D983" s="9"/>
      <c r="E983" s="9"/>
      <c r="F983" s="9" t="s">
        <v>2604</v>
      </c>
      <c r="G983" s="10" t="s">
        <v>2605</v>
      </c>
      <c r="H983" s="9"/>
      <c r="I983" s="9" t="n">
        <v>2</v>
      </c>
      <c r="J983" s="9" t="n">
        <v>1</v>
      </c>
      <c r="K983" s="11" t="n">
        <v>0.04</v>
      </c>
      <c r="L983" s="11" t="n">
        <v>0.6</v>
      </c>
      <c r="M983" s="9" t="n">
        <v>0</v>
      </c>
      <c r="N983" s="11" t="n">
        <v>0</v>
      </c>
      <c r="O983" s="11" t="n">
        <v>0.32</v>
      </c>
      <c r="P983" s="12"/>
      <c r="Q983" s="12"/>
      <c r="R983" s="12"/>
      <c r="S983" s="12"/>
      <c r="T983" s="9" t="s">
        <v>2603</v>
      </c>
      <c r="U983" s="9" t="s">
        <v>2605</v>
      </c>
    </row>
    <row r="984" customFormat="false" ht="15" hidden="false" customHeight="false" outlineLevel="0" collapsed="false">
      <c r="A984" s="9"/>
      <c r="B984" s="9"/>
      <c r="C984" s="9"/>
      <c r="D984" s="9"/>
      <c r="E984" s="9"/>
      <c r="F984" s="9" t="s">
        <v>2606</v>
      </c>
      <c r="G984" s="10" t="s">
        <v>2607</v>
      </c>
      <c r="H984" s="9" t="s">
        <v>969</v>
      </c>
      <c r="I984" s="9" t="n">
        <v>25</v>
      </c>
      <c r="J984" s="9" t="n">
        <v>864</v>
      </c>
      <c r="K984" s="11" t="n">
        <v>34.56</v>
      </c>
      <c r="L984" s="11" t="n">
        <v>0.6</v>
      </c>
      <c r="M984" s="9" t="n">
        <v>0</v>
      </c>
      <c r="N984" s="11" t="n">
        <v>0.067</v>
      </c>
      <c r="O984" s="11" t="n">
        <v>0.28</v>
      </c>
      <c r="P984" s="12"/>
      <c r="Q984" s="12"/>
      <c r="R984" s="12"/>
      <c r="S984" s="12"/>
      <c r="T984" s="9" t="s">
        <v>2603</v>
      </c>
      <c r="U984" s="9" t="s">
        <v>2607</v>
      </c>
    </row>
    <row r="985" customFormat="false" ht="15" hidden="false" customHeight="false" outlineLevel="0" collapsed="false">
      <c r="A985" s="9"/>
      <c r="B985" s="9"/>
      <c r="C985" s="9"/>
      <c r="D985" s="9"/>
      <c r="E985" s="9"/>
      <c r="F985" s="9" t="s">
        <v>2608</v>
      </c>
      <c r="G985" s="10" t="s">
        <v>2609</v>
      </c>
      <c r="H985" s="9" t="s">
        <v>969</v>
      </c>
      <c r="I985" s="9" t="n">
        <v>192</v>
      </c>
      <c r="J985" s="9" t="n">
        <v>3417</v>
      </c>
      <c r="K985" s="11" t="n">
        <v>136.68</v>
      </c>
      <c r="L985" s="11" t="n">
        <v>0.6</v>
      </c>
      <c r="M985" s="9" t="n">
        <v>0</v>
      </c>
      <c r="N985" s="11" t="n">
        <v>0</v>
      </c>
      <c r="O985" s="11" t="n">
        <v>0.27</v>
      </c>
      <c r="P985" s="12"/>
      <c r="Q985" s="12"/>
      <c r="R985" s="12"/>
      <c r="S985" s="12"/>
      <c r="T985" s="9" t="s">
        <v>2603</v>
      </c>
      <c r="U985" s="9" t="s">
        <v>2609</v>
      </c>
    </row>
    <row r="986" customFormat="false" ht="15" hidden="false" customHeight="false" outlineLevel="0" collapsed="false">
      <c r="A986" s="7" t="s">
        <v>2577</v>
      </c>
      <c r="B986" s="7" t="s">
        <v>2610</v>
      </c>
      <c r="C986" s="8" t="s">
        <v>651</v>
      </c>
      <c r="D986" s="7" t="s">
        <v>2611</v>
      </c>
      <c r="E986" s="7" t="n">
        <v>91</v>
      </c>
      <c r="F986" s="9" t="s">
        <v>2612</v>
      </c>
      <c r="G986" s="10" t="s">
        <v>2613</v>
      </c>
      <c r="H986" s="9" t="s">
        <v>2614</v>
      </c>
      <c r="I986" s="9" t="n">
        <v>27</v>
      </c>
      <c r="J986" s="9" t="n">
        <v>923</v>
      </c>
      <c r="K986" s="11" t="n">
        <v>10.143</v>
      </c>
      <c r="L986" s="11" t="n">
        <v>0.6</v>
      </c>
      <c r="M986" s="9" t="n">
        <v>1</v>
      </c>
      <c r="N986" s="11" t="n">
        <v>0.846</v>
      </c>
      <c r="O986" s="11" t="n">
        <v>0.697</v>
      </c>
      <c r="P986" s="12"/>
      <c r="Q986" s="12"/>
      <c r="R986" s="12"/>
      <c r="S986" s="12"/>
      <c r="T986" s="9" t="s">
        <v>2615</v>
      </c>
      <c r="U986" s="9" t="s">
        <v>2613</v>
      </c>
    </row>
    <row r="987" customFormat="false" ht="15" hidden="false" customHeight="false" outlineLevel="0" collapsed="false">
      <c r="A987" s="9"/>
      <c r="B987" s="9"/>
      <c r="C987" s="9"/>
      <c r="D987" s="9"/>
      <c r="E987" s="9"/>
      <c r="F987" s="9" t="s">
        <v>2616</v>
      </c>
      <c r="G987" s="10" t="s">
        <v>2617</v>
      </c>
      <c r="H987" s="9" t="s">
        <v>748</v>
      </c>
      <c r="I987" s="9" t="n">
        <v>3</v>
      </c>
      <c r="J987" s="9" t="n">
        <v>8</v>
      </c>
      <c r="K987" s="11" t="n">
        <v>0.088</v>
      </c>
      <c r="L987" s="11" t="n">
        <v>0.6</v>
      </c>
      <c r="M987" s="9" t="n">
        <v>0</v>
      </c>
      <c r="N987" s="11" t="n">
        <v>0</v>
      </c>
      <c r="O987" s="11" t="n">
        <v>0.32</v>
      </c>
      <c r="P987" s="12"/>
      <c r="Q987" s="12"/>
      <c r="R987" s="12"/>
      <c r="S987" s="12"/>
      <c r="T987" s="9" t="s">
        <v>2615</v>
      </c>
      <c r="U987" s="9" t="s">
        <v>2617</v>
      </c>
    </row>
    <row r="988" customFormat="false" ht="15" hidden="false" customHeight="false" outlineLevel="0" collapsed="false">
      <c r="A988" s="7" t="s">
        <v>2577</v>
      </c>
      <c r="B988" s="7" t="s">
        <v>2618</v>
      </c>
      <c r="C988" s="8" t="s">
        <v>2535</v>
      </c>
      <c r="D988" s="7" t="s">
        <v>2619</v>
      </c>
      <c r="E988" s="7" t="n">
        <v>7</v>
      </c>
      <c r="F988" s="9" t="s">
        <v>2620</v>
      </c>
      <c r="G988" s="10" t="s">
        <v>2621</v>
      </c>
      <c r="H988" s="9"/>
      <c r="I988" s="9" t="n">
        <v>5</v>
      </c>
      <c r="J988" s="9" t="n">
        <v>0</v>
      </c>
      <c r="K988" s="11" t="n">
        <v>0</v>
      </c>
      <c r="L988" s="11" t="n">
        <v>0.736</v>
      </c>
      <c r="M988" s="9" t="n">
        <v>1</v>
      </c>
      <c r="N988" s="11" t="n">
        <v>0.667</v>
      </c>
      <c r="O988" s="11" t="n">
        <v>0.731</v>
      </c>
      <c r="P988" s="12"/>
      <c r="Q988" s="12"/>
      <c r="R988" s="12"/>
      <c r="S988" s="12"/>
      <c r="T988" s="9" t="s">
        <v>2622</v>
      </c>
      <c r="U988" s="9" t="s">
        <v>2621</v>
      </c>
    </row>
    <row r="989" customFormat="false" ht="15" hidden="false" customHeight="false" outlineLevel="0" collapsed="false">
      <c r="A989" s="7" t="s">
        <v>2577</v>
      </c>
      <c r="B989" s="7" t="s">
        <v>2623</v>
      </c>
      <c r="C989" s="8" t="s">
        <v>392</v>
      </c>
      <c r="D989" s="7" t="s">
        <v>2624</v>
      </c>
      <c r="E989" s="7" t="n">
        <v>482</v>
      </c>
      <c r="F989" s="9" t="s">
        <v>2625</v>
      </c>
      <c r="G989" s="10" t="s">
        <v>2626</v>
      </c>
      <c r="H989" s="9" t="s">
        <v>392</v>
      </c>
      <c r="I989" s="9" t="n">
        <v>36</v>
      </c>
      <c r="J989" s="9" t="n">
        <v>299</v>
      </c>
      <c r="K989" s="11" t="n">
        <v>0.7</v>
      </c>
      <c r="L989" s="11" t="n">
        <v>0.828</v>
      </c>
      <c r="M989" s="9" t="n">
        <v>1</v>
      </c>
      <c r="N989" s="11" t="n">
        <v>1</v>
      </c>
      <c r="O989" s="11" t="n">
        <v>0.923</v>
      </c>
      <c r="P989" s="12"/>
      <c r="Q989" s="12"/>
      <c r="R989" s="12"/>
      <c r="S989" s="12"/>
      <c r="T989" s="9" t="s">
        <v>2627</v>
      </c>
      <c r="U989" s="9" t="s">
        <v>2626</v>
      </c>
    </row>
    <row r="990" customFormat="false" ht="15" hidden="false" customHeight="false" outlineLevel="0" collapsed="false">
      <c r="A990" s="9"/>
      <c r="B990" s="9"/>
      <c r="C990" s="9"/>
      <c r="D990" s="9"/>
      <c r="E990" s="9"/>
      <c r="F990" s="9" t="s">
        <v>2628</v>
      </c>
      <c r="G990" s="10" t="s">
        <v>2629</v>
      </c>
      <c r="H990" s="9"/>
      <c r="I990" s="9" t="n">
        <v>1</v>
      </c>
      <c r="J990" s="9" t="n">
        <v>0</v>
      </c>
      <c r="K990" s="11" t="n">
        <v>0</v>
      </c>
      <c r="L990" s="11" t="n">
        <v>0.55</v>
      </c>
      <c r="M990" s="9" t="n">
        <v>0</v>
      </c>
      <c r="N990" s="11" t="n">
        <v>1</v>
      </c>
      <c r="O990" s="11" t="n">
        <v>0.398</v>
      </c>
      <c r="P990" s="12"/>
      <c r="Q990" s="12"/>
      <c r="R990" s="12"/>
      <c r="S990" s="12"/>
      <c r="T990" s="9" t="s">
        <v>2627</v>
      </c>
      <c r="U990" s="9" t="s">
        <v>2629</v>
      </c>
    </row>
    <row r="991" customFormat="false" ht="15" hidden="false" customHeight="false" outlineLevel="0" collapsed="false">
      <c r="A991" s="7" t="s">
        <v>2577</v>
      </c>
      <c r="B991" s="7" t="s">
        <v>2630</v>
      </c>
      <c r="C991" s="8" t="s">
        <v>744</v>
      </c>
      <c r="D991" s="7" t="s">
        <v>2631</v>
      </c>
      <c r="E991" s="7" t="n">
        <v>4637</v>
      </c>
      <c r="F991" s="9" t="s">
        <v>2632</v>
      </c>
      <c r="G991" s="10" t="s">
        <v>2633</v>
      </c>
      <c r="H991" s="9" t="s">
        <v>748</v>
      </c>
      <c r="I991" s="9" t="n">
        <v>67</v>
      </c>
      <c r="J991" s="9" t="n">
        <v>3178</v>
      </c>
      <c r="K991" s="11" t="n">
        <v>0.685</v>
      </c>
      <c r="L991" s="11" t="n">
        <v>0.875</v>
      </c>
      <c r="M991" s="9" t="n">
        <v>1</v>
      </c>
      <c r="N991" s="11" t="n">
        <v>1</v>
      </c>
      <c r="O991" s="11" t="n">
        <v>0.944</v>
      </c>
      <c r="P991" s="12"/>
      <c r="Q991" s="12"/>
      <c r="R991" s="12"/>
      <c r="S991" s="12"/>
      <c r="T991" s="9" t="s">
        <v>2634</v>
      </c>
      <c r="U991" s="9" t="s">
        <v>2633</v>
      </c>
    </row>
    <row r="992" customFormat="false" ht="15" hidden="false" customHeight="false" outlineLevel="0" collapsed="false">
      <c r="A992" s="9"/>
      <c r="B992" s="9"/>
      <c r="C992" s="9"/>
      <c r="D992" s="9"/>
      <c r="E992" s="9"/>
      <c r="F992" s="9" t="s">
        <v>2635</v>
      </c>
      <c r="G992" s="10" t="s">
        <v>2636</v>
      </c>
      <c r="H992" s="9"/>
      <c r="I992" s="9" t="n">
        <v>2</v>
      </c>
      <c r="J992" s="9" t="n">
        <v>5</v>
      </c>
      <c r="K992" s="11" t="n">
        <v>0.001</v>
      </c>
      <c r="L992" s="11" t="n">
        <v>1</v>
      </c>
      <c r="M992" s="9" t="n">
        <v>0</v>
      </c>
      <c r="N992" s="11" t="n">
        <v>1</v>
      </c>
      <c r="O992" s="11" t="n">
        <v>0.6</v>
      </c>
      <c r="P992" s="12"/>
      <c r="Q992" s="12"/>
      <c r="R992" s="12"/>
      <c r="S992" s="12"/>
      <c r="T992" s="9" t="s">
        <v>2634</v>
      </c>
      <c r="U992" s="9" t="s">
        <v>2636</v>
      </c>
    </row>
    <row r="993" customFormat="false" ht="15" hidden="false" customHeight="false" outlineLevel="0" collapsed="false">
      <c r="A993" s="9"/>
      <c r="B993" s="9"/>
      <c r="C993" s="9"/>
      <c r="D993" s="9"/>
      <c r="E993" s="9"/>
      <c r="F993" s="9" t="s">
        <v>2637</v>
      </c>
      <c r="G993" s="10" t="s">
        <v>2638</v>
      </c>
      <c r="H993" s="9"/>
      <c r="I993" s="9" t="n">
        <v>4</v>
      </c>
      <c r="J993" s="9" t="n">
        <v>2</v>
      </c>
      <c r="K993" s="11" t="n">
        <v>0</v>
      </c>
      <c r="L993" s="11" t="n">
        <v>1</v>
      </c>
      <c r="M993" s="9" t="n">
        <v>0</v>
      </c>
      <c r="N993" s="11" t="n">
        <v>1</v>
      </c>
      <c r="O993" s="11" t="n">
        <v>0.6</v>
      </c>
      <c r="P993" s="12"/>
      <c r="Q993" s="12"/>
      <c r="R993" s="12"/>
      <c r="S993" s="12"/>
      <c r="T993" s="9" t="s">
        <v>2634</v>
      </c>
      <c r="U993" s="9" t="s">
        <v>2638</v>
      </c>
    </row>
    <row r="994" customFormat="false" ht="15" hidden="false" customHeight="false" outlineLevel="0" collapsed="false">
      <c r="A994" s="9"/>
      <c r="B994" s="9"/>
      <c r="C994" s="9"/>
      <c r="D994" s="9"/>
      <c r="E994" s="9"/>
      <c r="F994" s="9" t="s">
        <v>2639</v>
      </c>
      <c r="G994" s="10" t="s">
        <v>2640</v>
      </c>
      <c r="H994" s="9"/>
      <c r="I994" s="9" t="n">
        <v>2</v>
      </c>
      <c r="J994" s="9" t="n">
        <v>1</v>
      </c>
      <c r="K994" s="11" t="n">
        <v>0</v>
      </c>
      <c r="L994" s="11" t="n">
        <v>1</v>
      </c>
      <c r="M994" s="9" t="n">
        <v>0</v>
      </c>
      <c r="N994" s="11" t="n">
        <v>1</v>
      </c>
      <c r="O994" s="11" t="n">
        <v>0.6</v>
      </c>
      <c r="P994" s="12"/>
      <c r="Q994" s="12"/>
      <c r="R994" s="12"/>
      <c r="S994" s="12"/>
      <c r="T994" s="9" t="s">
        <v>2634</v>
      </c>
      <c r="U994" s="9" t="s">
        <v>2640</v>
      </c>
    </row>
    <row r="995" customFormat="false" ht="15" hidden="false" customHeight="false" outlineLevel="0" collapsed="false">
      <c r="A995" s="9"/>
      <c r="B995" s="9"/>
      <c r="C995" s="9"/>
      <c r="D995" s="9"/>
      <c r="E995" s="9"/>
      <c r="F995" s="9" t="s">
        <v>2641</v>
      </c>
      <c r="G995" s="10" t="s">
        <v>2642</v>
      </c>
      <c r="H995" s="9"/>
      <c r="I995" s="9" t="n">
        <v>1</v>
      </c>
      <c r="J995" s="9" t="n">
        <v>0</v>
      </c>
      <c r="K995" s="11" t="n">
        <v>0</v>
      </c>
      <c r="L995" s="11" t="n">
        <v>1</v>
      </c>
      <c r="M995" s="9" t="n">
        <v>0</v>
      </c>
      <c r="N995" s="11" t="n">
        <v>1</v>
      </c>
      <c r="O995" s="11" t="n">
        <v>0.6</v>
      </c>
      <c r="P995" s="12"/>
      <c r="Q995" s="12"/>
      <c r="R995" s="12"/>
      <c r="S995" s="12"/>
      <c r="T995" s="9" t="s">
        <v>2634</v>
      </c>
      <c r="U995" s="9" t="s">
        <v>2642</v>
      </c>
    </row>
    <row r="996" customFormat="false" ht="15" hidden="false" customHeight="false" outlineLevel="0" collapsed="false">
      <c r="A996" s="7" t="s">
        <v>2577</v>
      </c>
      <c r="B996" s="7" t="s">
        <v>2643</v>
      </c>
      <c r="C996" s="8" t="s">
        <v>2166</v>
      </c>
      <c r="D996" s="7" t="s">
        <v>2644</v>
      </c>
      <c r="E996" s="7" t="n">
        <v>425</v>
      </c>
      <c r="F996" s="9" t="s">
        <v>2645</v>
      </c>
      <c r="G996" s="10" t="s">
        <v>2646</v>
      </c>
      <c r="H996" s="9" t="s">
        <v>2647</v>
      </c>
      <c r="I996" s="9" t="n">
        <v>1</v>
      </c>
      <c r="J996" s="9" t="n">
        <v>10</v>
      </c>
      <c r="K996" s="11" t="n">
        <v>0.024</v>
      </c>
      <c r="L996" s="11" t="n">
        <v>0.658</v>
      </c>
      <c r="M996" s="9" t="n">
        <v>0</v>
      </c>
      <c r="N996" s="11" t="n">
        <v>0.667</v>
      </c>
      <c r="O996" s="11" t="n">
        <v>0.396</v>
      </c>
      <c r="P996" s="12"/>
      <c r="Q996" s="12"/>
      <c r="R996" s="12"/>
      <c r="S996" s="12"/>
      <c r="T996" s="9" t="s">
        <v>2648</v>
      </c>
      <c r="U996" s="9" t="s">
        <v>2646</v>
      </c>
    </row>
    <row r="997" customFormat="false" ht="15" hidden="false" customHeight="false" outlineLevel="0" collapsed="false">
      <c r="A997" s="7" t="s">
        <v>2577</v>
      </c>
      <c r="B997" s="7" t="s">
        <v>2649</v>
      </c>
      <c r="C997" s="8" t="s">
        <v>253</v>
      </c>
      <c r="D997" s="7" t="s">
        <v>2650</v>
      </c>
      <c r="E997" s="7" t="n">
        <v>12550</v>
      </c>
      <c r="F997" s="9" t="s">
        <v>2651</v>
      </c>
      <c r="G997" s="10" t="s">
        <v>2652</v>
      </c>
      <c r="H997" s="9" t="s">
        <v>2653</v>
      </c>
      <c r="I997" s="9" t="n">
        <v>68</v>
      </c>
      <c r="J997" s="9" t="n">
        <v>3166</v>
      </c>
      <c r="K997" s="11" t="n">
        <v>0.274</v>
      </c>
      <c r="L997" s="11" t="n">
        <v>0.682</v>
      </c>
      <c r="M997" s="9" t="n">
        <v>1</v>
      </c>
      <c r="N997" s="11" t="n">
        <v>0.514</v>
      </c>
      <c r="O997" s="11" t="n">
        <v>0.784</v>
      </c>
      <c r="P997" s="12"/>
      <c r="Q997" s="12"/>
      <c r="R997" s="12"/>
      <c r="S997" s="12"/>
      <c r="T997" s="9" t="s">
        <v>2654</v>
      </c>
      <c r="U997" s="9" t="s">
        <v>2652</v>
      </c>
    </row>
    <row r="998" customFormat="false" ht="15" hidden="false" customHeight="false" outlineLevel="0" collapsed="false">
      <c r="A998" s="9"/>
      <c r="B998" s="9"/>
      <c r="C998" s="9"/>
      <c r="D998" s="9"/>
      <c r="E998" s="9"/>
      <c r="F998" s="9" t="s">
        <v>2655</v>
      </c>
      <c r="G998" s="10" t="s">
        <v>2656</v>
      </c>
      <c r="H998" s="9" t="s">
        <v>2657</v>
      </c>
      <c r="I998" s="9" t="n">
        <v>375</v>
      </c>
      <c r="J998" s="9" t="n">
        <v>2206</v>
      </c>
      <c r="K998" s="11" t="n">
        <v>0.191</v>
      </c>
      <c r="L998" s="11" t="n">
        <v>1</v>
      </c>
      <c r="M998" s="9" t="n">
        <v>0</v>
      </c>
      <c r="N998" s="11" t="n">
        <v>0.92</v>
      </c>
      <c r="O998" s="11" t="n">
        <v>0.688</v>
      </c>
      <c r="P998" s="12"/>
      <c r="Q998" s="12"/>
      <c r="R998" s="12"/>
      <c r="S998" s="12"/>
      <c r="T998" s="9" t="s">
        <v>2654</v>
      </c>
      <c r="U998" s="9" t="s">
        <v>2656</v>
      </c>
    </row>
    <row r="999" customFormat="false" ht="15" hidden="false" customHeight="false" outlineLevel="0" collapsed="false">
      <c r="A999" s="9"/>
      <c r="B999" s="9"/>
      <c r="C999" s="9"/>
      <c r="D999" s="9"/>
      <c r="E999" s="9"/>
      <c r="F999" s="9" t="s">
        <v>2658</v>
      </c>
      <c r="G999" s="10" t="s">
        <v>2659</v>
      </c>
      <c r="H999" s="9" t="s">
        <v>2660</v>
      </c>
      <c r="I999" s="9" t="n">
        <v>47</v>
      </c>
      <c r="J999" s="9" t="n">
        <v>1033</v>
      </c>
      <c r="K999" s="11" t="n">
        <v>0.089</v>
      </c>
      <c r="L999" s="11" t="n">
        <v>1</v>
      </c>
      <c r="M999" s="9" t="n">
        <v>0</v>
      </c>
      <c r="N999" s="11" t="n">
        <v>0.867</v>
      </c>
      <c r="O999" s="11" t="n">
        <v>0.63</v>
      </c>
      <c r="P999" s="12"/>
      <c r="Q999" s="12"/>
      <c r="R999" s="12"/>
      <c r="S999" s="12"/>
      <c r="T999" s="9" t="s">
        <v>2654</v>
      </c>
      <c r="U999" s="9" t="s">
        <v>2659</v>
      </c>
    </row>
    <row r="1000" customFormat="false" ht="15" hidden="false" customHeight="false" outlineLevel="0" collapsed="false">
      <c r="A1000" s="9"/>
      <c r="B1000" s="9"/>
      <c r="C1000" s="9"/>
      <c r="D1000" s="9"/>
      <c r="E1000" s="9"/>
      <c r="F1000" s="9" t="s">
        <v>2661</v>
      </c>
      <c r="G1000" s="10" t="s">
        <v>2662</v>
      </c>
      <c r="H1000" s="9" t="s">
        <v>2663</v>
      </c>
      <c r="I1000" s="9" t="n">
        <v>181</v>
      </c>
      <c r="J1000" s="9" t="n">
        <v>8381</v>
      </c>
      <c r="K1000" s="11" t="n">
        <v>0.725</v>
      </c>
      <c r="L1000" s="11" t="n">
        <v>1</v>
      </c>
      <c r="M1000" s="9" t="n">
        <v>0</v>
      </c>
      <c r="N1000" s="11" t="n">
        <v>0.424</v>
      </c>
      <c r="O1000" s="11" t="n">
        <v>0.614</v>
      </c>
      <c r="P1000" s="12"/>
      <c r="Q1000" s="12"/>
      <c r="R1000" s="12"/>
      <c r="S1000" s="12"/>
      <c r="T1000" s="9" t="s">
        <v>2654</v>
      </c>
      <c r="U1000" s="9" t="s">
        <v>2662</v>
      </c>
    </row>
    <row r="1001" customFormat="false" ht="15" hidden="false" customHeight="false" outlineLevel="0" collapsed="false">
      <c r="A1001" s="9"/>
      <c r="B1001" s="9"/>
      <c r="C1001" s="9"/>
      <c r="D1001" s="9"/>
      <c r="E1001" s="9"/>
      <c r="F1001" s="9" t="s">
        <v>2664</v>
      </c>
      <c r="G1001" s="10" t="s">
        <v>2665</v>
      </c>
      <c r="H1001" s="9" t="s">
        <v>2666</v>
      </c>
      <c r="I1001" s="9" t="n">
        <v>137</v>
      </c>
      <c r="J1001" s="9" t="n">
        <v>2512</v>
      </c>
      <c r="K1001" s="11" t="n">
        <v>0.217</v>
      </c>
      <c r="L1001" s="11" t="n">
        <v>0.8</v>
      </c>
      <c r="M1001" s="9" t="n">
        <v>0</v>
      </c>
      <c r="N1001" s="11" t="n">
        <v>1</v>
      </c>
      <c r="O1001" s="11" t="n">
        <v>0.61</v>
      </c>
      <c r="P1001" s="12"/>
      <c r="Q1001" s="12"/>
      <c r="R1001" s="12"/>
      <c r="S1001" s="12"/>
      <c r="T1001" s="9" t="s">
        <v>2654</v>
      </c>
      <c r="U1001" s="9" t="s">
        <v>2665</v>
      </c>
    </row>
    <row r="1002" customFormat="false" ht="15" hidden="false" customHeight="false" outlineLevel="0" collapsed="false">
      <c r="A1002" s="7" t="s">
        <v>2577</v>
      </c>
      <c r="B1002" s="7" t="s">
        <v>2667</v>
      </c>
      <c r="C1002" s="8" t="s">
        <v>489</v>
      </c>
      <c r="D1002" s="7" t="s">
        <v>2668</v>
      </c>
      <c r="E1002" s="7" t="n">
        <v>1180</v>
      </c>
      <c r="F1002" s="9" t="s">
        <v>2669</v>
      </c>
      <c r="G1002" s="10" t="s">
        <v>2670</v>
      </c>
      <c r="H1002" s="9" t="s">
        <v>2671</v>
      </c>
      <c r="I1002" s="9" t="n">
        <v>25</v>
      </c>
      <c r="J1002" s="9" t="n">
        <v>450</v>
      </c>
      <c r="K1002" s="11" t="n">
        <v>0.383</v>
      </c>
      <c r="L1002" s="11" t="n">
        <v>0.869</v>
      </c>
      <c r="M1002" s="9" t="n">
        <v>1</v>
      </c>
      <c r="N1002" s="11" t="n">
        <v>0.85</v>
      </c>
      <c r="O1002" s="11" t="n">
        <v>0.919</v>
      </c>
      <c r="P1002" s="12"/>
      <c r="Q1002" s="12"/>
      <c r="R1002" s="12"/>
      <c r="S1002" s="12"/>
      <c r="T1002" s="9" t="s">
        <v>2672</v>
      </c>
      <c r="U1002" s="9" t="s">
        <v>2670</v>
      </c>
    </row>
    <row r="1003" customFormat="false" ht="15" hidden="false" customHeight="false" outlineLevel="0" collapsed="false">
      <c r="A1003" s="7" t="s">
        <v>2577</v>
      </c>
      <c r="B1003" s="7" t="s">
        <v>2673</v>
      </c>
      <c r="C1003" s="8" t="s">
        <v>796</v>
      </c>
      <c r="D1003" s="7" t="s">
        <v>2674</v>
      </c>
      <c r="E1003" s="7" t="n">
        <v>298</v>
      </c>
      <c r="F1003" s="9" t="s">
        <v>2675</v>
      </c>
      <c r="G1003" s="10" t="s">
        <v>2676</v>
      </c>
      <c r="H1003" s="9" t="s">
        <v>2466</v>
      </c>
      <c r="I1003" s="9" t="n">
        <v>11</v>
      </c>
      <c r="J1003" s="9" t="n">
        <v>147</v>
      </c>
      <c r="K1003" s="11" t="n">
        <v>0.519</v>
      </c>
      <c r="L1003" s="11" t="n">
        <v>0.844</v>
      </c>
      <c r="M1003" s="9" t="n">
        <v>1</v>
      </c>
      <c r="N1003" s="11" t="n">
        <v>1</v>
      </c>
      <c r="O1003" s="11" t="n">
        <v>0.93</v>
      </c>
      <c r="P1003" s="12"/>
      <c r="Q1003" s="12"/>
      <c r="R1003" s="12"/>
      <c r="S1003" s="12"/>
      <c r="T1003" s="9" t="s">
        <v>2677</v>
      </c>
      <c r="U1003" s="9" t="s">
        <v>2676</v>
      </c>
    </row>
    <row r="1004" customFormat="false" ht="15" hidden="false" customHeight="false" outlineLevel="0" collapsed="false">
      <c r="A1004" s="9"/>
      <c r="B1004" s="9"/>
      <c r="C1004" s="9"/>
      <c r="D1004" s="9"/>
      <c r="E1004" s="9"/>
      <c r="F1004" s="9" t="s">
        <v>2673</v>
      </c>
      <c r="G1004" s="10" t="s">
        <v>2678</v>
      </c>
      <c r="H1004" s="9"/>
      <c r="I1004" s="9" t="n">
        <v>1</v>
      </c>
      <c r="J1004" s="9" t="n">
        <v>54</v>
      </c>
      <c r="K1004" s="11" t="n">
        <v>0.191</v>
      </c>
      <c r="L1004" s="11" t="n">
        <v>1</v>
      </c>
      <c r="M1004" s="9" t="n">
        <v>0</v>
      </c>
      <c r="N1004" s="11" t="n">
        <v>1</v>
      </c>
      <c r="O1004" s="11" t="n">
        <v>0.7</v>
      </c>
      <c r="P1004" s="12"/>
      <c r="Q1004" s="12"/>
      <c r="R1004" s="12"/>
      <c r="S1004" s="12"/>
      <c r="T1004" s="9" t="s">
        <v>2677</v>
      </c>
      <c r="U1004" s="9" t="s">
        <v>2678</v>
      </c>
    </row>
    <row r="1005" customFormat="false" ht="15" hidden="false" customHeight="false" outlineLevel="0" collapsed="false">
      <c r="A1005" s="7" t="s">
        <v>2577</v>
      </c>
      <c r="B1005" s="7" t="s">
        <v>2679</v>
      </c>
      <c r="C1005" s="8" t="s">
        <v>45</v>
      </c>
      <c r="D1005" s="7" t="s">
        <v>2680</v>
      </c>
      <c r="E1005" s="7" t="n">
        <v>9</v>
      </c>
      <c r="F1005" s="9" t="s">
        <v>2681</v>
      </c>
      <c r="G1005" s="10" t="s">
        <v>2682</v>
      </c>
      <c r="H1005" s="9" t="s">
        <v>2683</v>
      </c>
      <c r="I1005" s="9" t="n">
        <v>4</v>
      </c>
      <c r="J1005" s="9" t="n">
        <v>4</v>
      </c>
      <c r="K1005" s="11" t="n">
        <v>0.444</v>
      </c>
      <c r="L1005" s="11" t="n">
        <v>0.6</v>
      </c>
      <c r="M1005" s="9" t="n">
        <v>1</v>
      </c>
      <c r="N1005" s="11" t="n">
        <v>1</v>
      </c>
      <c r="O1005" s="11" t="n">
        <v>0.82</v>
      </c>
      <c r="P1005" s="12"/>
      <c r="Q1005" s="12"/>
      <c r="R1005" s="12"/>
      <c r="S1005" s="12"/>
      <c r="T1005" s="9" t="s">
        <v>2684</v>
      </c>
      <c r="U1005" s="9" t="s">
        <v>2682</v>
      </c>
    </row>
    <row r="1006" customFormat="false" ht="15" hidden="false" customHeight="false" outlineLevel="0" collapsed="false">
      <c r="A1006" s="9"/>
      <c r="B1006" s="9"/>
      <c r="C1006" s="9"/>
      <c r="D1006" s="9"/>
      <c r="E1006" s="9"/>
      <c r="F1006" s="9" t="s">
        <v>2679</v>
      </c>
      <c r="G1006" s="10" t="s">
        <v>2685</v>
      </c>
      <c r="H1006" s="9"/>
      <c r="I1006" s="9" t="n">
        <v>2</v>
      </c>
      <c r="J1006" s="9" t="n">
        <v>0</v>
      </c>
      <c r="K1006" s="11" t="n">
        <v>0</v>
      </c>
      <c r="L1006" s="11" t="n">
        <v>1</v>
      </c>
      <c r="M1006" s="9" t="n">
        <v>0</v>
      </c>
      <c r="N1006" s="11" t="n">
        <v>1</v>
      </c>
      <c r="O1006" s="11" t="n">
        <v>0.6</v>
      </c>
      <c r="P1006" s="12"/>
      <c r="Q1006" s="12"/>
      <c r="R1006" s="12"/>
      <c r="S1006" s="12"/>
      <c r="T1006" s="9" t="s">
        <v>2684</v>
      </c>
      <c r="U1006" s="9" t="s">
        <v>2685</v>
      </c>
    </row>
    <row r="1007" customFormat="false" ht="15" hidden="false" customHeight="false" outlineLevel="0" collapsed="false">
      <c r="A1007" s="9"/>
      <c r="B1007" s="9"/>
      <c r="C1007" s="9"/>
      <c r="D1007" s="9"/>
      <c r="E1007" s="9"/>
      <c r="F1007" s="9" t="s">
        <v>2681</v>
      </c>
      <c r="G1007" s="10" t="s">
        <v>2686</v>
      </c>
      <c r="H1007" s="9"/>
      <c r="I1007" s="9" t="n">
        <v>1</v>
      </c>
      <c r="J1007" s="9" t="n">
        <v>0</v>
      </c>
      <c r="K1007" s="11" t="n">
        <v>0</v>
      </c>
      <c r="L1007" s="11" t="n">
        <v>0.6</v>
      </c>
      <c r="M1007" s="9" t="n">
        <v>0</v>
      </c>
      <c r="N1007" s="11" t="n">
        <v>0.667</v>
      </c>
      <c r="O1007" s="11" t="n">
        <v>0.37</v>
      </c>
      <c r="P1007" s="12"/>
      <c r="Q1007" s="12"/>
      <c r="R1007" s="12"/>
      <c r="S1007" s="12"/>
      <c r="T1007" s="9" t="s">
        <v>2684</v>
      </c>
      <c r="U1007" s="9" t="s">
        <v>2686</v>
      </c>
    </row>
    <row r="1008" customFormat="false" ht="15" hidden="false" customHeight="false" outlineLevel="0" collapsed="false">
      <c r="A1008" s="9"/>
      <c r="B1008" s="9"/>
      <c r="C1008" s="9"/>
      <c r="D1008" s="9"/>
      <c r="E1008" s="9"/>
      <c r="F1008" s="9" t="s">
        <v>2681</v>
      </c>
      <c r="G1008" s="10" t="s">
        <v>2687</v>
      </c>
      <c r="H1008" s="9"/>
      <c r="I1008" s="9" t="n">
        <v>1</v>
      </c>
      <c r="J1008" s="9" t="n">
        <v>0</v>
      </c>
      <c r="K1008" s="11" t="n">
        <v>0</v>
      </c>
      <c r="L1008" s="11" t="n">
        <v>0.6</v>
      </c>
      <c r="M1008" s="9" t="n">
        <v>0</v>
      </c>
      <c r="N1008" s="11" t="n">
        <v>0.333</v>
      </c>
      <c r="O1008" s="11" t="n">
        <v>0.32</v>
      </c>
      <c r="P1008" s="12"/>
      <c r="Q1008" s="12"/>
      <c r="R1008" s="12"/>
      <c r="S1008" s="12"/>
      <c r="T1008" s="9" t="s">
        <v>2684</v>
      </c>
      <c r="U1008" s="9" t="s">
        <v>2687</v>
      </c>
    </row>
    <row r="1009" customFormat="false" ht="15" hidden="false" customHeight="false" outlineLevel="0" collapsed="false">
      <c r="A1009" s="7" t="s">
        <v>2688</v>
      </c>
      <c r="B1009" s="7" t="s">
        <v>2689</v>
      </c>
      <c r="C1009" s="8" t="s">
        <v>2074</v>
      </c>
      <c r="D1009" s="7" t="s">
        <v>2690</v>
      </c>
      <c r="E1009" s="7" t="n">
        <v>1</v>
      </c>
      <c r="F1009" s="9" t="s">
        <v>2691</v>
      </c>
      <c r="G1009" s="9"/>
      <c r="H1009" s="9"/>
      <c r="I1009" s="9"/>
      <c r="J1009" s="9"/>
      <c r="K1009" s="11"/>
      <c r="L1009" s="11"/>
      <c r="M1009" s="9"/>
      <c r="N1009" s="11"/>
      <c r="O1009" s="11" t="n">
        <v>0</v>
      </c>
      <c r="P1009" s="9"/>
      <c r="Q1009" s="9"/>
      <c r="R1009" s="9"/>
      <c r="S1009" s="9"/>
      <c r="T1009" s="9" t="s">
        <v>2692</v>
      </c>
      <c r="U1009" s="9"/>
    </row>
    <row r="1010" customFormat="false" ht="15" hidden="false" customHeight="false" outlineLevel="0" collapsed="false">
      <c r="A1010" s="7" t="s">
        <v>2688</v>
      </c>
      <c r="B1010" s="7" t="s">
        <v>2693</v>
      </c>
      <c r="C1010" s="8" t="s">
        <v>268</v>
      </c>
      <c r="D1010" s="7" t="s">
        <v>1617</v>
      </c>
      <c r="E1010" s="7" t="n">
        <v>24</v>
      </c>
      <c r="F1010" s="9" t="s">
        <v>2691</v>
      </c>
      <c r="G1010" s="9"/>
      <c r="H1010" s="9"/>
      <c r="I1010" s="9"/>
      <c r="J1010" s="9"/>
      <c r="K1010" s="11"/>
      <c r="L1010" s="11"/>
      <c r="M1010" s="9"/>
      <c r="N1010" s="11"/>
      <c r="O1010" s="11" t="n">
        <v>0</v>
      </c>
      <c r="P1010" s="9"/>
      <c r="Q1010" s="9"/>
      <c r="R1010" s="9"/>
      <c r="S1010" s="9"/>
      <c r="T1010" s="9" t="s">
        <v>2694</v>
      </c>
      <c r="U1010" s="9"/>
    </row>
    <row r="1011" customFormat="false" ht="15" hidden="false" customHeight="false" outlineLevel="0" collapsed="false">
      <c r="A1011" s="7" t="s">
        <v>2688</v>
      </c>
      <c r="B1011" s="7" t="s">
        <v>2695</v>
      </c>
      <c r="C1011" s="8" t="s">
        <v>309</v>
      </c>
      <c r="D1011" s="7" t="s">
        <v>1315</v>
      </c>
      <c r="E1011" s="7" t="n">
        <v>49</v>
      </c>
      <c r="F1011" s="9" t="s">
        <v>2691</v>
      </c>
      <c r="G1011" s="9"/>
      <c r="H1011" s="9"/>
      <c r="I1011" s="9"/>
      <c r="J1011" s="9"/>
      <c r="K1011" s="11"/>
      <c r="L1011" s="11"/>
      <c r="M1011" s="9"/>
      <c r="N1011" s="11"/>
      <c r="O1011" s="11" t="n">
        <v>0</v>
      </c>
      <c r="P1011" s="9"/>
      <c r="Q1011" s="9"/>
      <c r="R1011" s="9"/>
      <c r="S1011" s="9"/>
      <c r="T1011" s="9" t="s">
        <v>2696</v>
      </c>
      <c r="U1011" s="9"/>
    </row>
    <row r="1012" customFormat="false" ht="15" hidden="false" customHeight="false" outlineLevel="0" collapsed="false">
      <c r="A1012" s="7" t="s">
        <v>2688</v>
      </c>
      <c r="B1012" s="7" t="s">
        <v>2697</v>
      </c>
      <c r="C1012" s="8" t="s">
        <v>2433</v>
      </c>
      <c r="D1012" s="7" t="s">
        <v>2698</v>
      </c>
      <c r="E1012" s="7" t="n">
        <v>2141</v>
      </c>
      <c r="F1012" s="9" t="s">
        <v>2691</v>
      </c>
      <c r="G1012" s="9"/>
      <c r="H1012" s="9"/>
      <c r="I1012" s="9"/>
      <c r="J1012" s="9"/>
      <c r="K1012" s="11"/>
      <c r="L1012" s="11"/>
      <c r="M1012" s="9"/>
      <c r="N1012" s="11"/>
      <c r="O1012" s="11" t="n">
        <v>0</v>
      </c>
      <c r="P1012" s="9"/>
      <c r="Q1012" s="9"/>
      <c r="R1012" s="9"/>
      <c r="S1012" s="9"/>
      <c r="T1012" s="9" t="s">
        <v>2699</v>
      </c>
      <c r="U1012" s="9"/>
    </row>
    <row r="1013" customFormat="false" ht="15" hidden="false" customHeight="false" outlineLevel="0" collapsed="false">
      <c r="A1013" s="7" t="s">
        <v>2688</v>
      </c>
      <c r="B1013" s="7" t="s">
        <v>2700</v>
      </c>
      <c r="C1013" s="8" t="s">
        <v>1573</v>
      </c>
      <c r="D1013" s="7" t="s">
        <v>2701</v>
      </c>
      <c r="E1013" s="7" t="n">
        <v>3073</v>
      </c>
      <c r="F1013" s="9" t="s">
        <v>2691</v>
      </c>
      <c r="G1013" s="9"/>
      <c r="H1013" s="9"/>
      <c r="I1013" s="9"/>
      <c r="J1013" s="9"/>
      <c r="K1013" s="11"/>
      <c r="L1013" s="11"/>
      <c r="M1013" s="9"/>
      <c r="N1013" s="11"/>
      <c r="O1013" s="11" t="n">
        <v>0</v>
      </c>
      <c r="P1013" s="9"/>
      <c r="Q1013" s="9"/>
      <c r="R1013" s="9"/>
      <c r="S1013" s="9"/>
      <c r="T1013" s="9" t="s">
        <v>2702</v>
      </c>
      <c r="U1013" s="9"/>
    </row>
    <row r="1014" customFormat="false" ht="15" hidden="false" customHeight="false" outlineLevel="0" collapsed="false">
      <c r="A1014" s="7" t="s">
        <v>2688</v>
      </c>
      <c r="B1014" s="7" t="s">
        <v>2703</v>
      </c>
      <c r="C1014" s="8" t="s">
        <v>2074</v>
      </c>
      <c r="D1014" s="7" t="s">
        <v>2299</v>
      </c>
      <c r="E1014" s="7" t="n">
        <v>242</v>
      </c>
      <c r="F1014" s="9" t="s">
        <v>2691</v>
      </c>
      <c r="G1014" s="9"/>
      <c r="H1014" s="9"/>
      <c r="I1014" s="9"/>
      <c r="J1014" s="9"/>
      <c r="K1014" s="11"/>
      <c r="L1014" s="11"/>
      <c r="M1014" s="9"/>
      <c r="N1014" s="11"/>
      <c r="O1014" s="11" t="n">
        <v>0</v>
      </c>
      <c r="P1014" s="9"/>
      <c r="Q1014" s="9"/>
      <c r="R1014" s="9"/>
      <c r="S1014" s="9"/>
      <c r="T1014" s="9" t="s">
        <v>2704</v>
      </c>
      <c r="U1014" s="9"/>
    </row>
    <row r="1015" customFormat="false" ht="15" hidden="false" customHeight="false" outlineLevel="0" collapsed="false">
      <c r="A1015" s="7" t="s">
        <v>2688</v>
      </c>
      <c r="B1015" s="7" t="s">
        <v>2705</v>
      </c>
      <c r="C1015" s="8" t="s">
        <v>1079</v>
      </c>
      <c r="D1015" s="7" t="s">
        <v>2624</v>
      </c>
      <c r="E1015" s="7" t="n">
        <v>1</v>
      </c>
      <c r="F1015" s="9" t="s">
        <v>2691</v>
      </c>
      <c r="G1015" s="9"/>
      <c r="H1015" s="9"/>
      <c r="I1015" s="9"/>
      <c r="J1015" s="9"/>
      <c r="K1015" s="11"/>
      <c r="L1015" s="11"/>
      <c r="M1015" s="9"/>
      <c r="N1015" s="11"/>
      <c r="O1015" s="11" t="n">
        <v>0</v>
      </c>
      <c r="P1015" s="9"/>
      <c r="Q1015" s="9"/>
      <c r="R1015" s="9"/>
      <c r="S1015" s="9"/>
      <c r="T1015" s="9" t="s">
        <v>2706</v>
      </c>
      <c r="U1015" s="9"/>
    </row>
    <row r="1016" customFormat="false" ht="15" hidden="false" customHeight="false" outlineLevel="0" collapsed="false">
      <c r="A1016" s="7" t="s">
        <v>2688</v>
      </c>
      <c r="B1016" s="7" t="s">
        <v>2707</v>
      </c>
      <c r="C1016" s="8" t="s">
        <v>115</v>
      </c>
      <c r="D1016" s="7" t="s">
        <v>2708</v>
      </c>
      <c r="E1016" s="7" t="n">
        <v>2794</v>
      </c>
      <c r="F1016" s="9" t="s">
        <v>2691</v>
      </c>
      <c r="G1016" s="9"/>
      <c r="H1016" s="9"/>
      <c r="I1016" s="9"/>
      <c r="J1016" s="9"/>
      <c r="K1016" s="11"/>
      <c r="L1016" s="11"/>
      <c r="M1016" s="9"/>
      <c r="N1016" s="11"/>
      <c r="O1016" s="11" t="n">
        <v>0</v>
      </c>
      <c r="P1016" s="9"/>
      <c r="Q1016" s="9"/>
      <c r="R1016" s="9"/>
      <c r="S1016" s="9"/>
      <c r="T1016" s="9" t="s">
        <v>2709</v>
      </c>
      <c r="U1016" s="9"/>
    </row>
    <row r="1017" customFormat="false" ht="15" hidden="false" customHeight="false" outlineLevel="0" collapsed="false">
      <c r="A1017" s="7" t="s">
        <v>2688</v>
      </c>
      <c r="B1017" s="7" t="s">
        <v>2710</v>
      </c>
      <c r="C1017" s="8" t="s">
        <v>1238</v>
      </c>
      <c r="D1017" s="7" t="s">
        <v>2711</v>
      </c>
      <c r="E1017" s="7" t="n">
        <v>1</v>
      </c>
      <c r="F1017" s="9" t="s">
        <v>2691</v>
      </c>
      <c r="G1017" s="9"/>
      <c r="H1017" s="9"/>
      <c r="I1017" s="9"/>
      <c r="J1017" s="9"/>
      <c r="K1017" s="11"/>
      <c r="L1017" s="11"/>
      <c r="M1017" s="9"/>
      <c r="N1017" s="11"/>
      <c r="O1017" s="11" t="n">
        <v>0</v>
      </c>
      <c r="P1017" s="9"/>
      <c r="Q1017" s="9"/>
      <c r="R1017" s="9"/>
      <c r="S1017" s="9"/>
      <c r="T1017" s="9" t="s">
        <v>2712</v>
      </c>
      <c r="U1017" s="9"/>
    </row>
    <row r="1018" customFormat="false" ht="15" hidden="false" customHeight="false" outlineLevel="0" collapsed="false">
      <c r="A1018" s="7" t="s">
        <v>2688</v>
      </c>
      <c r="B1018" s="7" t="s">
        <v>2713</v>
      </c>
      <c r="C1018" s="8" t="s">
        <v>2477</v>
      </c>
      <c r="D1018" s="7" t="s">
        <v>2714</v>
      </c>
      <c r="E1018" s="7" t="n">
        <v>3</v>
      </c>
      <c r="F1018" s="9" t="s">
        <v>2691</v>
      </c>
      <c r="G1018" s="9"/>
      <c r="H1018" s="9"/>
      <c r="I1018" s="9"/>
      <c r="J1018" s="9"/>
      <c r="K1018" s="11"/>
      <c r="L1018" s="11"/>
      <c r="M1018" s="9"/>
      <c r="N1018" s="11"/>
      <c r="O1018" s="11" t="n">
        <v>0</v>
      </c>
      <c r="P1018" s="9"/>
      <c r="Q1018" s="9"/>
      <c r="R1018" s="9"/>
      <c r="S1018" s="9"/>
      <c r="T1018" s="9" t="s">
        <v>2715</v>
      </c>
      <c r="U1018" s="9"/>
    </row>
    <row r="1019" customFormat="false" ht="15" hidden="false" customHeight="false" outlineLevel="0" collapsed="false">
      <c r="A1019" s="7" t="s">
        <v>2688</v>
      </c>
      <c r="B1019" s="7" t="s">
        <v>2716</v>
      </c>
      <c r="C1019" s="8" t="s">
        <v>1878</v>
      </c>
      <c r="D1019" s="7" t="s">
        <v>963</v>
      </c>
      <c r="E1019" s="7" t="n">
        <v>518</v>
      </c>
      <c r="F1019" s="9" t="s">
        <v>2691</v>
      </c>
      <c r="G1019" s="9"/>
      <c r="H1019" s="9"/>
      <c r="I1019" s="9"/>
      <c r="J1019" s="9"/>
      <c r="K1019" s="11"/>
      <c r="L1019" s="11"/>
      <c r="M1019" s="9"/>
      <c r="N1019" s="11"/>
      <c r="O1019" s="11" t="n">
        <v>0</v>
      </c>
      <c r="P1019" s="9"/>
      <c r="Q1019" s="9"/>
      <c r="R1019" s="9"/>
      <c r="S1019" s="9"/>
      <c r="T1019" s="9" t="s">
        <v>2717</v>
      </c>
      <c r="U1019" s="9"/>
    </row>
    <row r="1020" customFormat="false" ht="15" hidden="false" customHeight="false" outlineLevel="0" collapsed="false">
      <c r="A1020" s="7" t="s">
        <v>2688</v>
      </c>
      <c r="B1020" s="7" t="s">
        <v>2718</v>
      </c>
      <c r="C1020" s="8" t="s">
        <v>115</v>
      </c>
      <c r="D1020" s="7" t="s">
        <v>2719</v>
      </c>
      <c r="E1020" s="7" t="n">
        <v>515</v>
      </c>
      <c r="F1020" s="9" t="s">
        <v>2691</v>
      </c>
      <c r="G1020" s="9"/>
      <c r="H1020" s="9"/>
      <c r="I1020" s="9"/>
      <c r="J1020" s="9"/>
      <c r="K1020" s="11"/>
      <c r="L1020" s="11"/>
      <c r="M1020" s="9"/>
      <c r="N1020" s="11"/>
      <c r="O1020" s="11" t="n">
        <v>0</v>
      </c>
      <c r="P1020" s="9"/>
      <c r="Q1020" s="9"/>
      <c r="R1020" s="9"/>
      <c r="S1020" s="9"/>
      <c r="T1020" s="9" t="s">
        <v>2720</v>
      </c>
      <c r="U1020" s="9"/>
    </row>
    <row r="1021" customFormat="false" ht="15" hidden="false" customHeight="false" outlineLevel="0" collapsed="false">
      <c r="A1021" s="7" t="s">
        <v>2688</v>
      </c>
      <c r="B1021" s="7" t="s">
        <v>2721</v>
      </c>
      <c r="C1021" s="8" t="s">
        <v>984</v>
      </c>
      <c r="D1021" s="7" t="s">
        <v>2722</v>
      </c>
      <c r="E1021" s="7" t="n">
        <v>1</v>
      </c>
      <c r="F1021" s="9" t="s">
        <v>2691</v>
      </c>
      <c r="G1021" s="9"/>
      <c r="H1021" s="9"/>
      <c r="I1021" s="9"/>
      <c r="J1021" s="9"/>
      <c r="K1021" s="11"/>
      <c r="L1021" s="11"/>
      <c r="M1021" s="9"/>
      <c r="N1021" s="11"/>
      <c r="O1021" s="11" t="n">
        <v>0</v>
      </c>
      <c r="P1021" s="9"/>
      <c r="Q1021" s="9"/>
      <c r="R1021" s="9"/>
      <c r="S1021" s="9"/>
      <c r="T1021" s="9" t="s">
        <v>2723</v>
      </c>
      <c r="U1021" s="9"/>
    </row>
    <row r="1022" customFormat="false" ht="15" hidden="false" customHeight="false" outlineLevel="0" collapsed="false">
      <c r="A1022" s="7" t="s">
        <v>2688</v>
      </c>
      <c r="B1022" s="7" t="s">
        <v>2724</v>
      </c>
      <c r="C1022" s="8" t="s">
        <v>935</v>
      </c>
      <c r="D1022" s="7" t="s">
        <v>2725</v>
      </c>
      <c r="E1022" s="7" t="n">
        <v>460</v>
      </c>
      <c r="F1022" s="9" t="s">
        <v>2691</v>
      </c>
      <c r="G1022" s="9"/>
      <c r="H1022" s="9"/>
      <c r="I1022" s="9"/>
      <c r="J1022" s="9"/>
      <c r="K1022" s="11"/>
      <c r="L1022" s="11"/>
      <c r="M1022" s="9"/>
      <c r="N1022" s="11"/>
      <c r="O1022" s="11" t="n">
        <v>0</v>
      </c>
      <c r="P1022" s="9"/>
      <c r="Q1022" s="9"/>
      <c r="R1022" s="9"/>
      <c r="S1022" s="9"/>
      <c r="T1022" s="9" t="s">
        <v>2726</v>
      </c>
      <c r="U1022" s="9"/>
    </row>
  </sheetData>
  <autoFilter ref="A1:U1022"/>
  <dataValidations count="1">
    <dataValidation allowBlank="true" errorStyle="stop" operator="between" showDropDown="false" showErrorMessage="false" showInputMessage="false" sqref="P2:P1022" type="list">
      <formula1>"accepted,rejected"</formula1>
      <formula2>0</formula2>
    </dataValidation>
  </dataValidations>
  <hyperlinks>
    <hyperlink ref="C2" r:id="rId1" display="University of Illinois, Chicago"/>
    <hyperlink ref="G2" r:id="rId2" display="A5089853346"/>
    <hyperlink ref="G3" r:id="rId3" display="A5126547844"/>
    <hyperlink ref="G4" r:id="rId4" display="A5109390088"/>
    <hyperlink ref="G5" r:id="rId5" display="A5056680846"/>
    <hyperlink ref="G6" r:id="rId6" display="A5042214231"/>
    <hyperlink ref="C7" r:id="rId7" display="University of Washington"/>
    <hyperlink ref="G7" r:id="rId8" display="A5087736214"/>
    <hyperlink ref="G8" r:id="rId9" display="A5037072529"/>
    <hyperlink ref="G9" r:id="rId10" display="A5014935940"/>
    <hyperlink ref="G10" r:id="rId11" display="A5065697603"/>
    <hyperlink ref="G11" r:id="rId12" display="A5140773643"/>
    <hyperlink ref="C12" r:id="rId13" display="University of Memphis"/>
    <hyperlink ref="G12" r:id="rId14" display="A5039582865"/>
    <hyperlink ref="G13" r:id="rId15" display="A5056839902"/>
    <hyperlink ref="C14" r:id="rId16" display="University of Alberta"/>
    <hyperlink ref="G14" r:id="rId17" display="A5013138501"/>
    <hyperlink ref="G15" r:id="rId18" display="A5041043221"/>
    <hyperlink ref="G16" r:id="rId19" display="A5130904400"/>
    <hyperlink ref="G17" r:id="rId20" display="A5121004778"/>
    <hyperlink ref="G18" r:id="rId21" display="A5028998983"/>
    <hyperlink ref="C19" r:id="rId22" display="UCLA"/>
    <hyperlink ref="G19" r:id="rId23" display="A5080264291"/>
    <hyperlink ref="G20" r:id="rId24" display="A5137629448"/>
    <hyperlink ref="G21" r:id="rId25" display="A5135492732"/>
    <hyperlink ref="C22" r:id="rId26" display="UC Berkeley"/>
    <hyperlink ref="G22" r:id="rId27" display="A5011453865"/>
    <hyperlink ref="G23" r:id="rId28" display="A5077305910"/>
    <hyperlink ref="G24" r:id="rId29" display="A5114290226"/>
    <hyperlink ref="G25" r:id="rId30" display="A5104996243"/>
    <hyperlink ref="G26" r:id="rId31" display="A5104996457"/>
    <hyperlink ref="C27" r:id="rId32" display="University of Michigan"/>
    <hyperlink ref="G27" r:id="rId33" display="A5040964918"/>
    <hyperlink ref="G28" r:id="rId34" display="A5003617821"/>
    <hyperlink ref="G29" r:id="rId35" display="A5012790394"/>
    <hyperlink ref="G30" r:id="rId36" display="A5025717563"/>
    <hyperlink ref="G31" r:id="rId37" display="A5111589818"/>
    <hyperlink ref="C32" r:id="rId38" display="University of Pennsylvania"/>
    <hyperlink ref="G32" r:id="rId39" display="A5077734625"/>
    <hyperlink ref="G33" r:id="rId40" display="A5135637090"/>
    <hyperlink ref="C34" r:id="rId41" display="Virginia Commonwealth University"/>
    <hyperlink ref="G34" r:id="rId42" display="A5036924709"/>
    <hyperlink ref="G35" r:id="rId43" display="A5101692806"/>
    <hyperlink ref="G36" r:id="rId44" display="A5043119394"/>
    <hyperlink ref="G37" r:id="rId45" display="A5019759111"/>
    <hyperlink ref="G38" r:id="rId46" display="A5078225705"/>
    <hyperlink ref="C39" r:id="rId47" display="Ohio State University"/>
    <hyperlink ref="G39" r:id="rId48" display="A5102888009"/>
    <hyperlink ref="G40" r:id="rId49" display="A5057852842"/>
    <hyperlink ref="G41" r:id="rId50" display="A5067809524"/>
    <hyperlink ref="G42" r:id="rId51" display="A5101760558"/>
    <hyperlink ref="G43" r:id="rId52" display="A5110041004"/>
    <hyperlink ref="C44" r:id="rId53" display="University of Hawaii"/>
    <hyperlink ref="G44" r:id="rId54" display="A5039842908"/>
    <hyperlink ref="G45" r:id="rId55" display="A5036840918"/>
    <hyperlink ref="G46" r:id="rId56" display="A5014180091"/>
    <hyperlink ref="G47" r:id="rId57" display="A5123329700"/>
    <hyperlink ref="G48" r:id="rId58" display="A5134303400"/>
    <hyperlink ref="C49" r:id="rId59" display="University of Hawaii"/>
    <hyperlink ref="G49" r:id="rId60" display="A5085634129"/>
    <hyperlink ref="G50" r:id="rId61" display="A5045747223"/>
    <hyperlink ref="G51" r:id="rId62" display="A5080251065"/>
    <hyperlink ref="G52" r:id="rId63" display="A5059661645"/>
    <hyperlink ref="G53" r:id="rId64" display="A5133175982"/>
    <hyperlink ref="C54" r:id="rId65" location="/academic-programs/urban-planning-design/urban-planning/index.html" display="Harvard University"/>
    <hyperlink ref="G54" r:id="rId66" display="A5043951137"/>
    <hyperlink ref="G55" r:id="rId67" display="A5109102523"/>
    <hyperlink ref="G56" r:id="rId68" display="A5039900862"/>
    <hyperlink ref="G57" r:id="rId69" display="A5031863744"/>
    <hyperlink ref="G58" r:id="rId70" display="A5065542788"/>
    <hyperlink ref="C59" r:id="rId71" display="Tufts University"/>
    <hyperlink ref="G59" r:id="rId72" display="A5114251093"/>
    <hyperlink ref="G60" r:id="rId73" display="A5103531940"/>
    <hyperlink ref="G61" r:id="rId74" display="A5011623992"/>
    <hyperlink ref="G62" r:id="rId75" display="A5043269088"/>
    <hyperlink ref="G63" r:id="rId76" display="A5065327053"/>
    <hyperlink ref="C64" r:id="rId77" display="University of Saskatchewan"/>
    <hyperlink ref="G64" r:id="rId78" display="A5011657661"/>
    <hyperlink ref="G65" r:id="rId79" display="A5135292063"/>
    <hyperlink ref="G66" r:id="rId80" display="A5092596422"/>
    <hyperlink ref="G67" r:id="rId81" display="A5113380088"/>
    <hyperlink ref="C68" r:id="rId82" display="University of Pennsylvania"/>
    <hyperlink ref="G68" r:id="rId83" display="A5013899552"/>
    <hyperlink ref="G69" r:id="rId84" display="A5046911671"/>
    <hyperlink ref="G70" r:id="rId85" display="A5100566198"/>
    <hyperlink ref="G71" r:id="rId86" display="A5136577779"/>
    <hyperlink ref="G72" r:id="rId87" display="A5128916995"/>
    <hyperlink ref="C73" r:id="rId88" display="University of Massachusetts-Boston"/>
    <hyperlink ref="G73" r:id="rId89" display="A5059342159"/>
    <hyperlink ref="G74" r:id="rId90" display="A5103532680"/>
    <hyperlink ref="G75" r:id="rId91" display="A5035629877"/>
    <hyperlink ref="G76" r:id="rId92" display="A5005368944"/>
    <hyperlink ref="G77" r:id="rId93" display="A5000208273"/>
    <hyperlink ref="C78" r:id="rId94" display="Universite Laval"/>
    <hyperlink ref="G78" r:id="rId95" display="A5068219276"/>
    <hyperlink ref="G79" r:id="rId96" display="A5082852817"/>
    <hyperlink ref="G80" r:id="rId97" display="A5100925769"/>
    <hyperlink ref="G81" r:id="rId98" display="A5078491303"/>
    <hyperlink ref="G82" r:id="rId99" display="A5101865358"/>
    <hyperlink ref="C83" r:id="rId100" display="Florida State University"/>
    <hyperlink ref="G83" r:id="rId101" display="A5103007817"/>
    <hyperlink ref="G84" r:id="rId102" display="A5037358522"/>
    <hyperlink ref="G85" r:id="rId103" display="A5027830408"/>
    <hyperlink ref="G86" r:id="rId104" display="A5048033499"/>
    <hyperlink ref="G87" r:id="rId105" display="A5107894700"/>
    <hyperlink ref="C88" r:id="rId106" display="University of Illinois, Urbana-Champaign"/>
    <hyperlink ref="G88" r:id="rId107" display="A5111793909"/>
    <hyperlink ref="G89" r:id="rId108" display="A5112580888"/>
    <hyperlink ref="G90" r:id="rId109" display="A5100810336"/>
    <hyperlink ref="G91" r:id="rId110" display="A5103338440"/>
    <hyperlink ref="G92" r:id="rId111" display="A5102025790"/>
    <hyperlink ref="C93" r:id="rId112" display="University of Minnesota"/>
    <hyperlink ref="G93" r:id="rId113" display="A5076893686"/>
    <hyperlink ref="G94" r:id="rId114" display="A5109222674"/>
    <hyperlink ref="G95" r:id="rId115" display="A5136842184"/>
    <hyperlink ref="G96" r:id="rId116" display="A5135509576"/>
    <hyperlink ref="G97" r:id="rId117" display="A5147551867"/>
    <hyperlink ref="C98" r:id="rId118" display="Portland State University"/>
    <hyperlink ref="G98" r:id="rId119" display="A5102749932"/>
    <hyperlink ref="G99" r:id="rId120" display="A5012345184"/>
    <hyperlink ref="G100" r:id="rId121" display="A5140944634"/>
    <hyperlink ref="G101" r:id="rId122" display="A5148103774"/>
    <hyperlink ref="G102" r:id="rId123" display="A5121594083"/>
    <hyperlink ref="C103" r:id="rId124" display="Cornell University"/>
    <hyperlink ref="G103" r:id="rId125" display="A5042356480"/>
    <hyperlink ref="G104" r:id="rId126" display="A5045995739"/>
    <hyperlink ref="G105" r:id="rId127" display="A5102911810"/>
    <hyperlink ref="G106" r:id="rId128" display="A5032738351"/>
    <hyperlink ref="G107" r:id="rId129" display="A5101425803"/>
    <hyperlink ref="C108" r:id="rId130" display="Northeastern University"/>
    <hyperlink ref="G108" r:id="rId131" display="A5109562143"/>
    <hyperlink ref="G109" r:id="rId132" display="A5007475426"/>
    <hyperlink ref="G110" r:id="rId133" display="A5016324703"/>
    <hyperlink ref="G111" r:id="rId134" display="A5044267363"/>
    <hyperlink ref="G112" r:id="rId135" display="A5104642185"/>
    <hyperlink ref="C113" r:id="rId136" display="York University"/>
    <hyperlink ref="G113" r:id="rId137" display="A5064645168"/>
    <hyperlink ref="G114" r:id="rId138" display="A5110536660"/>
    <hyperlink ref="G115" r:id="rId139" display="A5003789745"/>
    <hyperlink ref="G116" r:id="rId140" display="A5063910318"/>
    <hyperlink ref="G117" r:id="rId141" display="A5102489414"/>
    <hyperlink ref="C118" r:id="rId142" display="UC San Diego"/>
    <hyperlink ref="G118" r:id="rId143" display="A5029816714"/>
    <hyperlink ref="G119" r:id="rId144" display="A5090363793"/>
    <hyperlink ref="G120" r:id="rId145" display="A5123614612"/>
    <hyperlink ref="G121" r:id="rId146" display="A5050370041"/>
    <hyperlink ref="G122" r:id="rId147" display="A5075483177"/>
    <hyperlink ref="C123" r:id="rId148" display="University of Florida"/>
    <hyperlink ref="G123" r:id="rId149" display="A5011556077"/>
    <hyperlink ref="G124" r:id="rId150" display="A5086101817"/>
    <hyperlink ref="C125" r:id="rId151" display="Texas A&amp;M University"/>
    <hyperlink ref="G125" r:id="rId152" display="A5012652473"/>
    <hyperlink ref="G126" r:id="rId153" display="A5091141937"/>
    <hyperlink ref="G127" r:id="rId154" display="A5038589018"/>
    <hyperlink ref="G128" r:id="rId155" display="A5085915518"/>
    <hyperlink ref="G129" r:id="rId156" display="A5028380083"/>
    <hyperlink ref="C130" r:id="rId157" display="University of Guelph"/>
    <hyperlink ref="G130" r:id="rId158" display="A5040843105"/>
    <hyperlink ref="G131" r:id="rId159" display="A5035631537"/>
    <hyperlink ref="G132" r:id="rId160" display="A5120149859"/>
    <hyperlink ref="G133" r:id="rId161" display="A5131386469"/>
    <hyperlink ref="G134" r:id="rId162" display="A5132550223"/>
    <hyperlink ref="C135" r:id="rId163" display="University of Louisville"/>
    <hyperlink ref="G135" r:id="rId164" display="A5111722608"/>
    <hyperlink ref="G136" r:id="rId165" display="A5112572605"/>
    <hyperlink ref="G137" r:id="rId166" display="A5018318111"/>
    <hyperlink ref="G138" r:id="rId167" display="A5108214588"/>
    <hyperlink ref="G139" r:id="rId168" display="A5098074329"/>
    <hyperlink ref="C140" r:id="rId169" display="USC"/>
    <hyperlink ref="G140" r:id="rId170" display="A5100730171"/>
    <hyperlink ref="G141" r:id="rId171" display="A5070661987"/>
    <hyperlink ref="G142" r:id="rId172" display="A5100730175"/>
    <hyperlink ref="G143" r:id="rId173" display="A5002623954"/>
    <hyperlink ref="G144" r:id="rId174" display="A5017538954"/>
    <hyperlink ref="C145" r:id="rId175" display="University of Memphis"/>
    <hyperlink ref="G145" r:id="rId176" display="A5060300040"/>
    <hyperlink ref="G146" r:id="rId177" display="A5028412388"/>
    <hyperlink ref="G147" r:id="rId178" display="A5041767483"/>
    <hyperlink ref="G148" r:id="rId179" display="A5066709369"/>
    <hyperlink ref="G149" r:id="rId180" display="A5108332138"/>
    <hyperlink ref="C150" r:id="rId181" display="University of Massachusetts-Amherst"/>
    <hyperlink ref="G150" r:id="rId182" display="A5014893377"/>
    <hyperlink ref="G151" r:id="rId183" display="A5058981502"/>
    <hyperlink ref="G152" r:id="rId184" display="A5064250082"/>
    <hyperlink ref="C153" r:id="rId185" display="Rowan University"/>
    <hyperlink ref="G153" r:id="rId186" display="A5087750858"/>
    <hyperlink ref="G154" r:id="rId187" display="A5005304859"/>
    <hyperlink ref="G155" r:id="rId188" display="A5015119426"/>
    <hyperlink ref="G156" r:id="rId189" display="A5116471150"/>
    <hyperlink ref="G157" r:id="rId190" display="A5116538398"/>
    <hyperlink ref="C158" r:id="rId191" display="University of Toronto"/>
    <hyperlink ref="G158" r:id="rId192" display="A5043515180"/>
    <hyperlink ref="G159" r:id="rId193" display="A5123856103"/>
    <hyperlink ref="G160" r:id="rId194" display="A5078021209"/>
    <hyperlink ref="G161" r:id="rId195" display="A5066767326"/>
    <hyperlink ref="G162" r:id="rId196" display="A5133631328"/>
    <hyperlink ref="C163" r:id="rId197" display="University of Utah"/>
    <hyperlink ref="G163" r:id="rId198" display="A5072738115"/>
    <hyperlink ref="G164" r:id="rId199" display="A5103164441"/>
    <hyperlink ref="G165" r:id="rId200" display="A5139487858"/>
    <hyperlink ref="G166" r:id="rId201" display="A5103499585"/>
    <hyperlink ref="G167" r:id="rId202" display="A5022136627"/>
    <hyperlink ref="C168" r:id="rId203" display="The New School"/>
    <hyperlink ref="G168" r:id="rId204" display="A5002461086"/>
    <hyperlink ref="G169" r:id="rId205" display="A5050807378"/>
    <hyperlink ref="G170" r:id="rId206" display="A5030467226"/>
    <hyperlink ref="G171" r:id="rId207" display="A5103372599"/>
    <hyperlink ref="G172" r:id="rId208" display="A5083549872"/>
    <hyperlink ref="C173" r:id="rId209" display="University of Maryland"/>
    <hyperlink ref="G173" r:id="rId210" display="A5040452720"/>
    <hyperlink ref="G174" r:id="rId211" display="A5103569525"/>
    <hyperlink ref="G175" r:id="rId212" display="A5061495539"/>
    <hyperlink ref="G176" r:id="rId213" display="A5117403225"/>
    <hyperlink ref="G177" r:id="rId214" display="A5144367400"/>
    <hyperlink ref="C178" r:id="rId215" display="MIT"/>
    <hyperlink ref="G178" r:id="rId216" display="A5101962232"/>
    <hyperlink ref="G179" r:id="rId217" display="A5041838340"/>
    <hyperlink ref="G180" r:id="rId218" display="A5058431820"/>
    <hyperlink ref="G181" r:id="rId219" display="A5103711028"/>
    <hyperlink ref="G182" r:id="rId220" display="A5102855398"/>
    <hyperlink ref="C183" r:id="rId221" display="Northern Arizona University"/>
    <hyperlink ref="G183" r:id="rId222" display="A5042499634"/>
    <hyperlink ref="G184" r:id="rId223" display="A5110051911"/>
    <hyperlink ref="G185" r:id="rId224" display="A5101688217"/>
    <hyperlink ref="G186" r:id="rId225" display="A5101632495"/>
    <hyperlink ref="G187" r:id="rId226" display="A5144059648"/>
    <hyperlink ref="C188" r:id="rId227" display="Rutgers University"/>
    <hyperlink ref="G188" r:id="rId228" display="A5039329208"/>
    <hyperlink ref="G189" r:id="rId229" display="A5102858836"/>
    <hyperlink ref="G190" r:id="rId230" display="A5009822349"/>
    <hyperlink ref="G191" r:id="rId231" display="A5103475668"/>
    <hyperlink ref="G192" r:id="rId232" display="A5111814031"/>
    <hyperlink ref="C193" r:id="rId233" display="East Carolina University"/>
    <hyperlink ref="G193" r:id="rId234" display="A5109588411"/>
    <hyperlink ref="G194" r:id="rId235" display="A5052042990"/>
    <hyperlink ref="G195" r:id="rId236" display="A5056740709"/>
    <hyperlink ref="G196" r:id="rId237" display="A5004375416"/>
    <hyperlink ref="G197" r:id="rId238" display="A5109038619"/>
    <hyperlink ref="C198" r:id="rId239" display="Rutgers University"/>
    <hyperlink ref="G198" r:id="rId240" display="A5090892405"/>
    <hyperlink ref="G199" r:id="rId241" display="A5135449840"/>
    <hyperlink ref="G200" r:id="rId242" display="A5098416747"/>
    <hyperlink ref="G201" r:id="rId243" display="A5099254366"/>
    <hyperlink ref="G202" r:id="rId244" display="A5129469963"/>
    <hyperlink ref="C203" r:id="rId245" display="University of Kansas"/>
    <hyperlink ref="G203" r:id="rId246" display="A5103545550"/>
    <hyperlink ref="G204" r:id="rId247" display="A5062117067"/>
    <hyperlink ref="G205" r:id="rId248" display="A5069414906"/>
    <hyperlink ref="G206" r:id="rId249" display="A5114240266"/>
    <hyperlink ref="G207" r:id="rId250" display="A5056032868"/>
    <hyperlink ref="C208" r:id="rId251" display="San Diego State University"/>
    <hyperlink ref="G208" r:id="rId252" display="A5055528941"/>
    <hyperlink ref="G209" r:id="rId253" display="A5077230652"/>
    <hyperlink ref="G210" r:id="rId254" display="A5075498743"/>
    <hyperlink ref="G211" r:id="rId255" display="A5033514416"/>
    <hyperlink ref="C212" r:id="rId256" display="University of Maryland"/>
    <hyperlink ref="G212" r:id="rId257" display="A5054358091"/>
    <hyperlink ref="G213" r:id="rId258" display="A5110812820"/>
    <hyperlink ref="G214" r:id="rId259" display="A5119826523"/>
    <hyperlink ref="G215" r:id="rId260" display="A5108485822"/>
    <hyperlink ref="G216" r:id="rId261" display="A5047806263"/>
    <hyperlink ref="C217" r:id="rId262" display="Rowan University"/>
    <hyperlink ref="G217" r:id="rId263" display="A5102775442"/>
    <hyperlink ref="G218" r:id="rId264" display="A5011146440"/>
    <hyperlink ref="G219" r:id="rId265" display="A5122804207"/>
    <hyperlink ref="G220" r:id="rId266" display="A5126601515"/>
    <hyperlink ref="G221" r:id="rId267" display="A5065823641"/>
    <hyperlink ref="C222" r:id="rId268" display="USC"/>
    <hyperlink ref="G222" r:id="rId269" display="A5032597591"/>
    <hyperlink ref="G223" r:id="rId270" display="A5013470629"/>
    <hyperlink ref="G224" r:id="rId271" display="A5086696069"/>
    <hyperlink ref="G225" r:id="rId272" display="A5087102585"/>
    <hyperlink ref="G226" r:id="rId273" display="A5056267816"/>
    <hyperlink ref="C227" r:id="rId274" display="University of Maryland"/>
    <hyperlink ref="G227" r:id="rId275" display="A5108703329"/>
    <hyperlink ref="G228" r:id="rId276" display="A5024129069"/>
    <hyperlink ref="G229" r:id="rId277" display="A5088634048"/>
    <hyperlink ref="G230" r:id="rId278" display="A5106213581"/>
    <hyperlink ref="G231" r:id="rId279" display="A5092538675"/>
    <hyperlink ref="C232" r:id="rId280" display="University at Buffalo, The State University of New York"/>
    <hyperlink ref="G232" r:id="rId281" display="A5043525503"/>
    <hyperlink ref="G233" r:id="rId282" display="A5135876537"/>
    <hyperlink ref="C234" r:id="rId283" display="Rutgers University, School of Environmental &amp; Biological Sciences"/>
    <hyperlink ref="G234" r:id="rId284" display="A5109364562"/>
    <hyperlink ref="G235" r:id="rId285" display="A5108433030"/>
    <hyperlink ref="G236" r:id="rId286" display="A5034761590"/>
    <hyperlink ref="G237" r:id="rId287" display="A5093032611"/>
    <hyperlink ref="G238" r:id="rId288" display="A5077738182"/>
    <hyperlink ref="C239" r:id="rId289" display="Texas A&amp;M University"/>
    <hyperlink ref="G239" r:id="rId290" display="A5069840768"/>
    <hyperlink ref="G240" r:id="rId291" display="A5033599214"/>
    <hyperlink ref="G241" r:id="rId292" display="A5022812819"/>
    <hyperlink ref="G242" r:id="rId293" display="A5126436565"/>
    <hyperlink ref="G243" r:id="rId294" display="A5130394903"/>
    <hyperlink ref="C244" r:id="rId295" display="University of Arizona"/>
    <hyperlink ref="G244" r:id="rId296" display="A5100631612"/>
    <hyperlink ref="G245" r:id="rId297" display="A5100631615"/>
    <hyperlink ref="G246" r:id="rId298" display="A5089786199"/>
    <hyperlink ref="G247" r:id="rId299" display="A5144367830"/>
    <hyperlink ref="G248" r:id="rId300" display="A5100631618"/>
    <hyperlink ref="C249" r:id="rId301" display="University of Pennsylvania"/>
    <hyperlink ref="G249" r:id="rId302" display="A5101845393"/>
    <hyperlink ref="G250" r:id="rId303" display="A5144415074"/>
    <hyperlink ref="G251" r:id="rId304" display="A5065330086"/>
    <hyperlink ref="G252" r:id="rId305" display="A5024110899"/>
    <hyperlink ref="G253" r:id="rId306" display="A5103852499"/>
    <hyperlink ref="C254" r:id="rId307" display="University of Illinois, Chicago"/>
    <hyperlink ref="G254" r:id="rId308" display="A5063715451"/>
    <hyperlink ref="G255" r:id="rId309" display="A5103912562"/>
    <hyperlink ref="G256" r:id="rId310" display="A5073272796"/>
    <hyperlink ref="G257" r:id="rId311" display="A5031770822"/>
    <hyperlink ref="G258" r:id="rId312" display="A5030528397"/>
    <hyperlink ref="C259" r:id="rId313" display="University of Kansas"/>
    <hyperlink ref="G259" r:id="rId314" display="A5076390873"/>
    <hyperlink ref="G260" r:id="rId315" display="A5008947138"/>
    <hyperlink ref="C261" r:id="rId316" display="UC Berkeley"/>
    <hyperlink ref="G261" r:id="rId317" display="A5102909263"/>
    <hyperlink ref="G262" r:id="rId318" display="A5101055648"/>
    <hyperlink ref="G263" r:id="rId319" display="A5007842788"/>
    <hyperlink ref="G264" r:id="rId320" display="A5032022046"/>
    <hyperlink ref="G265" r:id="rId321" display="A5046532067"/>
    <hyperlink ref="C266" r:id="rId322" display="Dalhousie University"/>
    <hyperlink ref="G266" r:id="rId323" display="A5113715971"/>
    <hyperlink ref="G267" r:id="rId324" display="A5114112612"/>
    <hyperlink ref="G268" r:id="rId325" display="A5076164394"/>
    <hyperlink ref="G269" r:id="rId326" display="A5042617867"/>
    <hyperlink ref="G270" r:id="rId327" display="A5050753150"/>
    <hyperlink ref="C271" r:id="rId328" display="UC Irvine"/>
    <hyperlink ref="G271" r:id="rId329" display="A5000100837"/>
    <hyperlink ref="G272" r:id="rId330" display="A5060058822"/>
    <hyperlink ref="G273" r:id="rId331" display="A5097564375"/>
    <hyperlink ref="G274" r:id="rId332" display="A5110941176"/>
    <hyperlink ref="G275" r:id="rId333" display="A5054730731"/>
    <hyperlink ref="C276" r:id="rId334" display="University of Alberta"/>
    <hyperlink ref="G276" r:id="rId335" display="A5069035042"/>
    <hyperlink ref="G277" r:id="rId336" display="A5069888854"/>
    <hyperlink ref="G278" r:id="rId337" display="A5128821750"/>
    <hyperlink ref="G279" r:id="rId338" display="A5109002786"/>
    <hyperlink ref="G280" r:id="rId339" display="A5139333029"/>
    <hyperlink ref="C281" r:id="rId340" display="University of Cincinnati"/>
    <hyperlink ref="G281" r:id="rId341" display="A5021295764"/>
    <hyperlink ref="G282" r:id="rId342" display="A5114025101"/>
    <hyperlink ref="G283" r:id="rId343" display="A5025676060"/>
    <hyperlink ref="G284" r:id="rId344" display="A5092785614"/>
    <hyperlink ref="G285" r:id="rId345" display="A5099588342"/>
    <hyperlink ref="C286" r:id="rId346" display="Florida Atlantic University"/>
    <hyperlink ref="G286" r:id="rId347" display="A5034151265"/>
    <hyperlink ref="G287" r:id="rId348" display="A5079995250"/>
    <hyperlink ref="G288" r:id="rId349" display="A5135611312"/>
    <hyperlink ref="G289" r:id="rId350" display="A5071357029"/>
    <hyperlink ref="C290" r:id="rId351" display="University of Wisconsin, Madison"/>
    <hyperlink ref="G290" r:id="rId352" display="A5107991235"/>
    <hyperlink ref="G291" r:id="rId353" display="A5033642008"/>
    <hyperlink ref="G292" r:id="rId354" display="A5112004665"/>
    <hyperlink ref="G293" r:id="rId355" display="A5060730140"/>
    <hyperlink ref="G294" r:id="rId356" display="A5032985621"/>
    <hyperlink ref="C295" r:id="rId357" display="Universite Laval"/>
    <hyperlink ref="G295" r:id="rId358" display="A5058440390"/>
    <hyperlink ref="G296" r:id="rId359" display="A5028996004"/>
    <hyperlink ref="G297" r:id="rId360" display="A5025383209"/>
    <hyperlink ref="G298" r:id="rId361" display="A5063513141"/>
    <hyperlink ref="G299" r:id="rId362" display="A5109984724"/>
    <hyperlink ref="C300" r:id="rId363" display="UCLA"/>
    <hyperlink ref="G300" r:id="rId364" display="A5110737977"/>
    <hyperlink ref="G301" r:id="rId365" display="A5075980835"/>
    <hyperlink ref="G302" r:id="rId366" display="A5103184876"/>
    <hyperlink ref="G303" r:id="rId367" display="A5078332994"/>
    <hyperlink ref="G304" r:id="rId368" display="A5081169713"/>
    <hyperlink ref="C305" r:id="rId369" display="Northeastern University"/>
    <hyperlink ref="G305" r:id="rId370" display="A5083670541"/>
    <hyperlink ref="G306" r:id="rId371" display="A5101399398"/>
    <hyperlink ref="G307" r:id="rId372" display="A5019976820"/>
    <hyperlink ref="G308" r:id="rId373" display="A5103413221"/>
    <hyperlink ref="G309" r:id="rId374" display="A5094001875"/>
    <hyperlink ref="C310" r:id="rId375" display="University of Texas, Arlington"/>
    <hyperlink ref="G310" r:id="rId376" display="A5083699253"/>
    <hyperlink ref="G311" r:id="rId377" display="A5112746846"/>
    <hyperlink ref="G312" r:id="rId378" display="A5147905953"/>
    <hyperlink ref="G313" r:id="rId379" display="A5040267991"/>
    <hyperlink ref="G314" r:id="rId380" display="A5142971526"/>
    <hyperlink ref="C315" r:id="rId381" display="University at Buffalo, The State University of New York"/>
    <hyperlink ref="G315" r:id="rId382" display="A5100409598"/>
    <hyperlink ref="G316" r:id="rId383" display="A5100409607"/>
    <hyperlink ref="G317" r:id="rId384" display="A5100409599"/>
    <hyperlink ref="G318" r:id="rId385" display="A5100409602"/>
    <hyperlink ref="G319" r:id="rId386" display="A5005359699"/>
    <hyperlink ref="C320" r:id="rId387" display="University of Saskatchewan"/>
    <hyperlink ref="G320" r:id="rId388" display="A5016687100"/>
    <hyperlink ref="G321" r:id="rId389" display="A5071550128"/>
    <hyperlink ref="G322" r:id="rId390" display="A5039024938"/>
    <hyperlink ref="G323" r:id="rId391" display="A5097578811"/>
    <hyperlink ref="G324" r:id="rId392" display="A5090611098"/>
    <hyperlink ref="C325" r:id="rId393" display="University of Florida"/>
    <hyperlink ref="G325" r:id="rId394" display="A5069439577"/>
    <hyperlink ref="G326" r:id="rId395" display="A5113524330"/>
    <hyperlink ref="G327" r:id="rId396" display="A5108208189"/>
    <hyperlink ref="G328" r:id="rId397" display="A5140932550"/>
    <hyperlink ref="G329" r:id="rId398" display="A5039347448"/>
    <hyperlink ref="C330" r:id="rId399" display="Northern Arizona University"/>
    <hyperlink ref="G330" r:id="rId400" display="A5101407319"/>
    <hyperlink ref="G331" r:id="rId401" display="A5081442837"/>
    <hyperlink ref="G332" r:id="rId402" display="A5107882623"/>
    <hyperlink ref="G333" r:id="rId403" display="A5107939696"/>
    <hyperlink ref="G334" r:id="rId404" display="A5141338953"/>
    <hyperlink ref="C335" r:id="rId405" display="University of Quebec in Montreal"/>
    <hyperlink ref="G335" r:id="rId406" display="A5090849619"/>
    <hyperlink ref="G336" r:id="rId407" display="A5108457372"/>
    <hyperlink ref="G337" r:id="rId408" display="A5109889380"/>
    <hyperlink ref="G338" r:id="rId409" display="A5126257565"/>
    <hyperlink ref="G339" r:id="rId410" display="A5108771275"/>
    <hyperlink ref="C340" r:id="rId411" display="University of Georgia"/>
    <hyperlink ref="G340" r:id="rId412" display="A5039872829"/>
    <hyperlink ref="G341" r:id="rId413" display="A5020647583"/>
    <hyperlink ref="G342" r:id="rId414" display="A5109518588"/>
    <hyperlink ref="G343" r:id="rId415" display="A5042129498"/>
    <hyperlink ref="G344" r:id="rId416" display="A5136889182"/>
    <hyperlink ref="C345" r:id="rId417" display="University of Toledo"/>
    <hyperlink ref="G345" r:id="rId418" display="A5026651294"/>
    <hyperlink ref="G346" r:id="rId419" display="A5069803763"/>
    <hyperlink ref="G347" r:id="rId420" display="A5059016853"/>
    <hyperlink ref="G348" r:id="rId421" display="A5119432478"/>
    <hyperlink ref="G349" r:id="rId422" display="A5122699598"/>
    <hyperlink ref="C350" r:id="rId423" location="/academic-programs/urban-planning-design/urban-planning/index.html" display="Harvard University"/>
    <hyperlink ref="G350" r:id="rId424" display="A5045102391"/>
    <hyperlink ref="G351" r:id="rId425" display="A5065852957"/>
    <hyperlink ref="G352" r:id="rId426" display="A5103598730"/>
    <hyperlink ref="G353" r:id="rId427" display="A5007292986"/>
    <hyperlink ref="G354" r:id="rId428" display="A5109033672"/>
    <hyperlink ref="C355" r:id="rId429" display="University of Wisconsin, Milwaukee"/>
    <hyperlink ref="G355" r:id="rId430" display="A5012023237"/>
    <hyperlink ref="G356" r:id="rId431" display="A5103429978"/>
    <hyperlink ref="G357" r:id="rId432" display="A5071685655"/>
    <hyperlink ref="G358" r:id="rId433" display="A5110126660"/>
    <hyperlink ref="G359" r:id="rId434" display="A5103363798"/>
    <hyperlink ref="C360" r:id="rId435" display="Northeastern University"/>
    <hyperlink ref="G360" r:id="rId436" display="A5110856923"/>
    <hyperlink ref="G361" r:id="rId437" display="A5067986618"/>
    <hyperlink ref="G362" r:id="rId438" display="A5099288226"/>
    <hyperlink ref="G363" r:id="rId439" display="A5099456481"/>
    <hyperlink ref="G364" r:id="rId440" display="A5102038157"/>
    <hyperlink ref="C365" r:id="rId441" display="Appalachian State University"/>
    <hyperlink ref="G365" r:id="rId442" display="A5064283770"/>
    <hyperlink ref="G366" r:id="rId443" display="A5080219283"/>
    <hyperlink ref="G367" r:id="rId444" display="A5149467602"/>
    <hyperlink ref="G368" r:id="rId445" display="A5034433344"/>
    <hyperlink ref="G369" r:id="rId446" display="A5053351129"/>
    <hyperlink ref="C370" r:id="rId447" display="UNC"/>
    <hyperlink ref="G370" r:id="rId448" display="A5077128086"/>
    <hyperlink ref="G371" r:id="rId449" display="A5100639584"/>
    <hyperlink ref="G372" r:id="rId450" display="A5103012789"/>
    <hyperlink ref="G373" r:id="rId451" display="A5023780556"/>
    <hyperlink ref="G374" r:id="rId452" display="A5100381758"/>
    <hyperlink ref="C375" r:id="rId453" display="University of Florida"/>
    <hyperlink ref="G375" r:id="rId454" display="A5022609719"/>
    <hyperlink ref="G376" r:id="rId455" display="A5078396297"/>
    <hyperlink ref="G377" r:id="rId456" display="A5110794040"/>
    <hyperlink ref="G378" r:id="rId457" display="A5016800254"/>
    <hyperlink ref="G379" r:id="rId458" display="A5096878458"/>
    <hyperlink ref="C380" r:id="rId459" display="UCLA"/>
    <hyperlink ref="G380" r:id="rId460" display="A5029049026"/>
    <hyperlink ref="G381" r:id="rId461" display="A5108377123"/>
    <hyperlink ref="G382" r:id="rId462" display="A5104991924"/>
    <hyperlink ref="G383" r:id="rId463" display="A5127296837"/>
    <hyperlink ref="G384" r:id="rId464" display="A5097004501"/>
    <hyperlink ref="C385" r:id="rId465" display="UC San Diego"/>
    <hyperlink ref="G385" r:id="rId466" display="A5100546700"/>
    <hyperlink ref="G386" r:id="rId467" display="A5145954767"/>
    <hyperlink ref="G387" r:id="rId468" display="A5024860149"/>
    <hyperlink ref="G388" r:id="rId469" display="A5061742737"/>
    <hyperlink ref="G389" r:id="rId470" display="A5140812536"/>
    <hyperlink ref="C390" r:id="rId471" display="University of Massachusetts-Boston"/>
    <hyperlink ref="G390" r:id="rId472" display="A5077973893"/>
    <hyperlink ref="G391" r:id="rId473" display="A5032618838"/>
    <hyperlink ref="G392" r:id="rId474" display="A5074463751"/>
    <hyperlink ref="G393" r:id="rId475" display="A5148955590"/>
    <hyperlink ref="G394" r:id="rId476" display="A5020207079"/>
    <hyperlink ref="C395" r:id="rId477" display="Iowa State University"/>
    <hyperlink ref="G395" r:id="rId478" display="A5101800566"/>
    <hyperlink ref="G396" r:id="rId479" display="A5054172850"/>
    <hyperlink ref="G397" r:id="rId480" display="A5109952224"/>
    <hyperlink ref="G398" r:id="rId481" display="A5071715441"/>
    <hyperlink ref="G399" r:id="rId482" display="A5049797977"/>
    <hyperlink ref="C400" r:id="rId483" display="UCLA"/>
    <hyperlink ref="G400" r:id="rId484" display="A5075588005"/>
    <hyperlink ref="G401" r:id="rId485" display="A5033610800"/>
    <hyperlink ref="G402" r:id="rId486" display="A5102095993"/>
    <hyperlink ref="G403" r:id="rId487" display="A5015513311"/>
    <hyperlink ref="G404" r:id="rId488" display="A5034724649"/>
    <hyperlink ref="C405" r:id="rId489" display="California State University, Northridge"/>
    <hyperlink ref="G405" r:id="rId490" display="A5056647659"/>
    <hyperlink ref="G406" r:id="rId491" display="A5104044075"/>
    <hyperlink ref="G407" r:id="rId492" display="A5007430689"/>
    <hyperlink ref="G408" r:id="rId493" display="A5036498218"/>
    <hyperlink ref="G409" r:id="rId494" display="A5028803128"/>
    <hyperlink ref="C410" r:id="rId495" display="Universite de Montreal"/>
    <hyperlink ref="G410" r:id="rId496" display="A5059719881"/>
    <hyperlink ref="G411" r:id="rId497" display="A5000426887"/>
    <hyperlink ref="G412" r:id="rId498" display="A5106591365"/>
    <hyperlink ref="G413" r:id="rId499" display="A5062675880"/>
    <hyperlink ref="G414" r:id="rId500" display="A5055122966"/>
    <hyperlink ref="C415" r:id="rId501" display="University of Alberta"/>
    <hyperlink ref="G415" r:id="rId502" display="A5085787037"/>
    <hyperlink ref="G416" r:id="rId503" display="A5120149817"/>
    <hyperlink ref="G417" r:id="rId504" display="A5128334584"/>
    <hyperlink ref="G418" r:id="rId505" display="A5135235917"/>
    <hyperlink ref="G419" r:id="rId506" display="A5059457745"/>
    <hyperlink ref="C420" r:id="rId507" display="Texas A&amp;M University"/>
    <hyperlink ref="G420" r:id="rId508" display="A5006052564"/>
    <hyperlink ref="G421" r:id="rId509" display="A5045546250"/>
    <hyperlink ref="G422" r:id="rId510" display="A5063587563"/>
    <hyperlink ref="C423" r:id="rId511" display="Portland State University"/>
    <hyperlink ref="G423" r:id="rId512" display="A5100328707"/>
    <hyperlink ref="G424" r:id="rId513" display="A5100328715"/>
    <hyperlink ref="G425" r:id="rId514" display="A5100328733"/>
    <hyperlink ref="G426" r:id="rId515" display="A5101680356"/>
    <hyperlink ref="G427" r:id="rId516" display="A5100328728"/>
    <hyperlink ref="C428" r:id="rId517" display="Universite Laval"/>
    <hyperlink ref="G428" r:id="rId518" display="A5013070159"/>
    <hyperlink ref="G429" r:id="rId519" display="A5113967102"/>
    <hyperlink ref="G430" r:id="rId520" display="A5136352209"/>
    <hyperlink ref="G431" r:id="rId521" display="A5134018016"/>
    <hyperlink ref="G432" r:id="rId522" display="A5134676173"/>
    <hyperlink ref="C433" r:id="rId523" display="Queen's University"/>
    <hyperlink ref="G433" r:id="rId524" display="A5111884245"/>
    <hyperlink ref="G434" r:id="rId525" display="A5113469189"/>
    <hyperlink ref="G435" r:id="rId526" display="A5009008603"/>
    <hyperlink ref="C436" r:id="rId527" display="University of Toronto"/>
    <hyperlink ref="G436" r:id="rId528" display="A5053169940"/>
    <hyperlink ref="G437" r:id="rId529" display="A5147506309"/>
    <hyperlink ref="G438" r:id="rId530" display="A5070127172"/>
    <hyperlink ref="G439" r:id="rId531" display="A5084344341"/>
    <hyperlink ref="C440" r:id="rId532" display="MIT"/>
    <hyperlink ref="G440" r:id="rId533" display="A5103110896"/>
    <hyperlink ref="G441" r:id="rId534" display="A5101656348"/>
    <hyperlink ref="G442" r:id="rId535" display="A5100724015"/>
    <hyperlink ref="G443" r:id="rId536" display="A5003975585"/>
    <hyperlink ref="G444" r:id="rId537" display="A5107894359"/>
    <hyperlink ref="C445" r:id="rId538" display="Michigan State University"/>
    <hyperlink ref="G445" r:id="rId539" display="A5056989854"/>
    <hyperlink ref="G446" r:id="rId540" display="A5027722530"/>
    <hyperlink ref="G447" r:id="rId541" display="A5071603430"/>
    <hyperlink ref="G448" r:id="rId542" display="A5048611220"/>
    <hyperlink ref="G449" r:id="rId543" display="A5107978370"/>
    <hyperlink ref="C450" r:id="rId544" display="University of Virginia"/>
    <hyperlink ref="G450" r:id="rId545" display="A5089529760"/>
    <hyperlink ref="G451" r:id="rId546" display="A5112640076"/>
    <hyperlink ref="G452" r:id="rId547" display="A5028172464"/>
    <hyperlink ref="G453" r:id="rId548" display="A5112017490"/>
    <hyperlink ref="G454" r:id="rId549" display="A5103868655"/>
    <hyperlink ref="C455" r:id="rId550" display="University of Virginia"/>
    <hyperlink ref="G455" r:id="rId551" display="A5109193437"/>
    <hyperlink ref="G456" r:id="rId552" display="A5018163213"/>
    <hyperlink ref="G457" r:id="rId553" display="A5024221492"/>
    <hyperlink ref="G458" r:id="rId554" display="A5113644437"/>
    <hyperlink ref="G459" r:id="rId555" display="A5109000992"/>
    <hyperlink ref="C460" r:id="rId556" display="Columbia University"/>
    <hyperlink ref="G460" r:id="rId557" display="A5101413878"/>
    <hyperlink ref="G461" r:id="rId558" display="A5101413877"/>
    <hyperlink ref="G462" r:id="rId559" display="A5102301149"/>
    <hyperlink ref="G463" r:id="rId560" display="A5089012962"/>
    <hyperlink ref="G464" r:id="rId561" display="A5108585947"/>
    <hyperlink ref="C465" r:id="rId562" display="Cornell University"/>
    <hyperlink ref="G465" r:id="rId563" display="A5042450429"/>
    <hyperlink ref="G466" r:id="rId564" display="A5062166205"/>
    <hyperlink ref="G467" r:id="rId565" display="A5074356169"/>
    <hyperlink ref="G468" r:id="rId566" display="A5108489962"/>
    <hyperlink ref="G469" r:id="rId567" display="A5140480217"/>
    <hyperlink ref="C470" r:id="rId568" display="University of Oregon"/>
    <hyperlink ref="G470" r:id="rId569" display="A5024005394"/>
    <hyperlink ref="G471" r:id="rId570" display="A5100892827"/>
    <hyperlink ref="G472" r:id="rId571" display="A5121785882"/>
    <hyperlink ref="G473" r:id="rId572" display="A5137844673"/>
    <hyperlink ref="G474" r:id="rId573" display="A5102184150"/>
    <hyperlink ref="C475" r:id="rId574" display="University at Buffalo, The State University of New York"/>
    <hyperlink ref="G475" r:id="rId575" display="A5100672017"/>
    <hyperlink ref="G476" r:id="rId576" display="A5100759456"/>
    <hyperlink ref="G477" r:id="rId577" display="A5058610487"/>
    <hyperlink ref="G478" r:id="rId578" display="A5053763458"/>
    <hyperlink ref="G479" r:id="rId579" display="A5100620243"/>
    <hyperlink ref="C480" r:id="rId580" display="Texas A&amp;M University"/>
    <hyperlink ref="G480" r:id="rId581" display="A5100714673"/>
    <hyperlink ref="G481" r:id="rId582" display="A5137079775"/>
    <hyperlink ref="G482" r:id="rId583" display="A5100714669"/>
    <hyperlink ref="G483" r:id="rId584" display="A5122349434"/>
    <hyperlink ref="G484" r:id="rId585" display="A5100714671"/>
    <hyperlink ref="C485" r:id="rId586" display="MIT"/>
    <hyperlink ref="G485" r:id="rId587" display="A5111754321"/>
    <hyperlink ref="G486" r:id="rId588" display="A5032312656"/>
    <hyperlink ref="G487" r:id="rId589" display="A5065369145"/>
    <hyperlink ref="G488" r:id="rId590" display="A5150109085"/>
    <hyperlink ref="C489" r:id="rId591" display="Rutgers University"/>
    <hyperlink ref="G489" r:id="rId592" display="A5100401848"/>
    <hyperlink ref="G490" r:id="rId593" display="A5100401849"/>
    <hyperlink ref="G491" r:id="rId594" display="A5059498909"/>
    <hyperlink ref="G492" r:id="rId595" display="A5100401863"/>
    <hyperlink ref="G493" r:id="rId596" display="A5100401859"/>
    <hyperlink ref="C494" r:id="rId597" display="MIT"/>
    <hyperlink ref="G494" r:id="rId598" display="A5014586639"/>
    <hyperlink ref="G495" r:id="rId599" display="A5022751093"/>
    <hyperlink ref="G496" r:id="rId600" display="A5044259117"/>
    <hyperlink ref="G497" r:id="rId601" display="A5134568156"/>
    <hyperlink ref="G498" r:id="rId602" display="A5101700479"/>
    <hyperlink ref="C499" r:id="rId603" display="University of Iowa"/>
    <hyperlink ref="G499" r:id="rId604" display="A5069620263"/>
    <hyperlink ref="G500" r:id="rId605" display="A5007213837"/>
    <hyperlink ref="G501" r:id="rId606" display="A5125457985"/>
    <hyperlink ref="G502" r:id="rId607" display="A5114868818"/>
    <hyperlink ref="G503" r:id="rId608" display="A5037043373"/>
    <hyperlink ref="C504" r:id="rId609" display="Cal Poly, San Luis Obispo"/>
    <hyperlink ref="G504" r:id="rId610" display="A5113501559"/>
    <hyperlink ref="G505" r:id="rId611" display="A5093426922"/>
    <hyperlink ref="G506" r:id="rId612" display="A5078026541"/>
    <hyperlink ref="G507" r:id="rId613" display="A5064836191"/>
    <hyperlink ref="G508" r:id="rId614" display="A5008998984"/>
    <hyperlink ref="C509" r:id="rId615" display="University of Memphis"/>
    <hyperlink ref="G509" r:id="rId616" display="A5018423086"/>
    <hyperlink ref="C510" r:id="rId617" display="Georgia Tech"/>
    <hyperlink ref="G510" r:id="rId618" display="A5025248819"/>
    <hyperlink ref="G511" r:id="rId619" display="A5095637931"/>
    <hyperlink ref="G512" r:id="rId620" display="A5140055220"/>
    <hyperlink ref="G513" r:id="rId621" display="A5029864962"/>
    <hyperlink ref="G514" r:id="rId622" display="A5146908896"/>
    <hyperlink ref="C515" r:id="rId623" display="Georgia Tech"/>
    <hyperlink ref="G515" r:id="rId624" display="A5014820761"/>
    <hyperlink ref="G516" r:id="rId625" display="A5044478033"/>
    <hyperlink ref="C517" r:id="rId626" display="UNC"/>
    <hyperlink ref="G517" r:id="rId627" display="A5082676449"/>
    <hyperlink ref="G518" r:id="rId628" display="A5034814078"/>
    <hyperlink ref="C519" r:id="rId629" display="Florida State University"/>
    <hyperlink ref="G519" r:id="rId630" display="A5091110764"/>
    <hyperlink ref="G520" r:id="rId631" display="A5111376644"/>
    <hyperlink ref="G521" r:id="rId632" display="A5075131493"/>
    <hyperlink ref="G522" r:id="rId633" display="A5079773631"/>
    <hyperlink ref="G523" r:id="rId634" display="A5072309521"/>
    <hyperlink ref="C524" r:id="rId635" display="University of Guelph"/>
    <hyperlink ref="G524" r:id="rId636" display="A5057268347"/>
    <hyperlink ref="G525" r:id="rId637" display="A5021020232"/>
    <hyperlink ref="C526" r:id="rId638" display="University of Utah"/>
    <hyperlink ref="G526" r:id="rId639" display="A5042656626"/>
    <hyperlink ref="G527" r:id="rId640" display="A5010450933"/>
    <hyperlink ref="G528" r:id="rId641" display="A5102771230"/>
    <hyperlink ref="G529" r:id="rId642" display="A5026096668"/>
    <hyperlink ref="G530" r:id="rId643" display="A5040105632"/>
    <hyperlink ref="C531" r:id="rId644" display="UC San Diego"/>
    <hyperlink ref="G531" r:id="rId645" display="A5079666837"/>
    <hyperlink ref="C532" r:id="rId646" display="Michigan State University"/>
    <hyperlink ref="G532" r:id="rId647" display="A5112609489"/>
    <hyperlink ref="G533" r:id="rId648" display="A5100366211"/>
    <hyperlink ref="G534" r:id="rId649" display="A5100366215"/>
    <hyperlink ref="G535" r:id="rId650" display="A5101756587"/>
    <hyperlink ref="G536" r:id="rId651" display="A5073464445"/>
    <hyperlink ref="C537" r:id="rId652" display="University of Northern British Columbia"/>
    <hyperlink ref="G537" r:id="rId653" display="A5008995236"/>
    <hyperlink ref="C538" r:id="rId654" display="University of Oregon"/>
    <hyperlink ref="G538" r:id="rId655" display="A5111702905"/>
    <hyperlink ref="G539" r:id="rId656" display="A5041658601"/>
    <hyperlink ref="G540" r:id="rId657" display="A5077758208"/>
    <hyperlink ref="G541" r:id="rId658" display="A5102776727"/>
    <hyperlink ref="G542" r:id="rId659" display="A5146539048"/>
    <hyperlink ref="C543" r:id="rId660" display="University of Oregon"/>
    <hyperlink ref="G543" r:id="rId661" display="A5095843817"/>
    <hyperlink ref="G544" r:id="rId662" display="A5099250876"/>
    <hyperlink ref="C545" r:id="rId663" display="University of Georgia"/>
    <hyperlink ref="G545" r:id="rId664" display="A5110601826"/>
    <hyperlink ref="G546" r:id="rId665" display="A5112327844"/>
    <hyperlink ref="G547" r:id="rId666" display="A5004094115"/>
    <hyperlink ref="G548" r:id="rId667" display="A5128505389"/>
    <hyperlink ref="G549" r:id="rId668" display="A5000285728"/>
    <hyperlink ref="C550" r:id="rId669" display="University of Delaware"/>
    <hyperlink ref="G550" r:id="rId670" display="A5010069502"/>
    <hyperlink ref="G551" r:id="rId671" display="A5008028465"/>
    <hyperlink ref="G552" r:id="rId672" display="A5075222770"/>
    <hyperlink ref="C553" r:id="rId673" display="Temple University"/>
    <hyperlink ref="G553" r:id="rId674" display="A5052260807"/>
    <hyperlink ref="C554" r:id="rId675" display="Alabama A&amp;M University"/>
    <hyperlink ref="G554" r:id="rId676" display="A5091437041"/>
    <hyperlink ref="G555" r:id="rId677" display="A5120149276"/>
    <hyperlink ref="C556" r:id="rId678" display="University of Colorado, Denver"/>
    <hyperlink ref="G556" r:id="rId679" display="A5041002227"/>
    <hyperlink ref="C557" r:id="rId680" display="University of Wisconsin, Milwaukee"/>
    <hyperlink ref="G557" r:id="rId681" display="A5084368332"/>
    <hyperlink ref="C558" r:id="rId682" display="University of Illinois, Urbana-Champaign"/>
    <hyperlink ref="G558" r:id="rId683" display="A5024656408"/>
    <hyperlink ref="C559" r:id="rId684" display="University of New Orleans"/>
    <hyperlink ref="G559" r:id="rId685" display="A5125920952"/>
    <hyperlink ref="C560" r:id="rId686" display="MIT"/>
    <hyperlink ref="G560" r:id="rId687" display="A5017966645"/>
    <hyperlink ref="G561" r:id="rId688" display="A5144067282"/>
    <hyperlink ref="C562" r:id="rId689" display="University of Arizona"/>
    <hyperlink ref="G562" r:id="rId690" display="A5036410753"/>
    <hyperlink ref="G563" r:id="rId691" display="A5011129537"/>
    <hyperlink ref="G564" r:id="rId692" display="A5136340999"/>
    <hyperlink ref="G565" r:id="rId693" display="A5079114525"/>
    <hyperlink ref="G566" r:id="rId694" display="A5103595651"/>
    <hyperlink ref="C567" r:id="rId695" display="Dalhousie University"/>
    <hyperlink ref="G567" r:id="rId696" display="A5005222276"/>
    <hyperlink ref="G568" r:id="rId697" display="A5101673834"/>
    <hyperlink ref="G569" r:id="rId698" display="A5102609795"/>
    <hyperlink ref="G570" r:id="rId699" display="A5074993588"/>
    <hyperlink ref="G571" r:id="rId700" display="A5104037407"/>
    <hyperlink ref="C572" r:id="rId701" display="Texas A&amp;M University"/>
    <hyperlink ref="G572" r:id="rId702" display="A5028899129"/>
    <hyperlink ref="C573" r:id="rId703" display="University of Maryland"/>
    <hyperlink ref="G573" r:id="rId704" display="A5049322120"/>
    <hyperlink ref="G574" r:id="rId705" display="A5103973385"/>
    <hyperlink ref="C575" r:id="rId706" display="University of British Columbia"/>
    <hyperlink ref="G575" r:id="rId707" display="A5057973739"/>
    <hyperlink ref="C576" r:id="rId708" display="UC Irvine"/>
    <hyperlink ref="G576" r:id="rId709" display="A5038943885"/>
    <hyperlink ref="C577" r:id="rId710" display="Michigan State University"/>
    <hyperlink ref="G577" r:id="rId711" display="A5061427353"/>
    <hyperlink ref="G578" r:id="rId712" display="A5069367123"/>
    <hyperlink ref="G579" r:id="rId713" display="A5077221574"/>
    <hyperlink ref="G580" r:id="rId714" display="A5079083347"/>
    <hyperlink ref="G581" r:id="rId715" display="A5103602821"/>
    <hyperlink ref="C582" r:id="rId716" display="New Jersey Institute of Technology"/>
    <hyperlink ref="G582" r:id="rId717" display="A5017654492"/>
    <hyperlink ref="C583" r:id="rId718" display="University of Texas, San Antonio"/>
    <hyperlink ref="G583" r:id="rId719" display="A5020065179"/>
    <hyperlink ref="G584" r:id="rId720" display="A5024188924"/>
    <hyperlink ref="G585" r:id="rId721" display="A5054840258"/>
    <hyperlink ref="G586" r:id="rId722" display="A5034285437"/>
    <hyperlink ref="G587" r:id="rId723" display="A5079503473"/>
    <hyperlink ref="C588" r:id="rId724" display="Toronto Metropolitan University"/>
    <hyperlink ref="G588" r:id="rId725" display="A5140596687"/>
    <hyperlink ref="C589" r:id="rId726" display="University of British Columbia"/>
    <hyperlink ref="G589" r:id="rId727" display="A5115057905"/>
    <hyperlink ref="G590" r:id="rId728" display="A5083399767"/>
    <hyperlink ref="G591" r:id="rId729" display="A5062107373"/>
    <hyperlink ref="G592" r:id="rId730" display="A5081807736"/>
    <hyperlink ref="C593" r:id="rId731" display="University of Pennsylvania"/>
    <hyperlink ref="G593" r:id="rId732" display="A5028443556"/>
    <hyperlink ref="G594" r:id="rId733" display="A5109215780"/>
    <hyperlink ref="G595" r:id="rId734" display="A5043409379"/>
    <hyperlink ref="G596" r:id="rId735" display="A5089494236"/>
    <hyperlink ref="G597" r:id="rId736" display="A5046539486"/>
    <hyperlink ref="C598" r:id="rId737" display="University of Arizona"/>
    <hyperlink ref="G598" r:id="rId738" display="A5026465352"/>
    <hyperlink ref="G599" r:id="rId739" display="A5099719389"/>
    <hyperlink ref="C600" r:id="rId740" display="University of Maryland"/>
    <hyperlink ref="G600" r:id="rId741" display="A5013165338"/>
    <hyperlink ref="C601" r:id="rId742" display="Missouri State University"/>
    <hyperlink ref="G601" r:id="rId743" display="A5022022969"/>
    <hyperlink ref="C602" r:id="rId744" display="University of Minnesota"/>
    <hyperlink ref="G602" r:id="rId745" display="A5001503458"/>
    <hyperlink ref="C603" r:id="rId746" display="Toronto Metropolitan University"/>
    <hyperlink ref="G603" r:id="rId747" display="A5008877753"/>
    <hyperlink ref="G604" r:id="rId748" display="A5070903134"/>
    <hyperlink ref="G605" r:id="rId749" display="A5127658384"/>
    <hyperlink ref="C606" r:id="rId750" display="MIT"/>
    <hyperlink ref="G606" r:id="rId751" display="A5054022895"/>
    <hyperlink ref="C607" r:id="rId752" display="University of Puerto Rico"/>
    <hyperlink ref="G607" r:id="rId753" display="A5050496605"/>
    <hyperlink ref="C608" r:id="rId754" display="University of Iowa"/>
    <hyperlink ref="G608" r:id="rId755" display="A5056723329"/>
    <hyperlink ref="G609" r:id="rId756" display="A5013277990"/>
    <hyperlink ref="G610" r:id="rId757" display="A5062124394"/>
    <hyperlink ref="G611" r:id="rId758" display="A5110590125"/>
    <hyperlink ref="G612" r:id="rId759" display="A5014414662"/>
    <hyperlink ref="C613" r:id="rId760" display="University of Wisconsin, Milwaukee"/>
    <hyperlink ref="G613" r:id="rId761" display="A5030217009"/>
    <hyperlink ref="G614" r:id="rId762" display="A5125608287"/>
    <hyperlink ref="G615" r:id="rId763" display="A5116549183"/>
    <hyperlink ref="G616" r:id="rId764" display="A5022547303"/>
    <hyperlink ref="C617" r:id="rId765" display="University of Texas, San Antonio"/>
    <hyperlink ref="G617" r:id="rId766" display="A5133495512"/>
    <hyperlink ref="G618" r:id="rId767" display="A5118627972"/>
    <hyperlink ref="G619" r:id="rId768" display="A5147078962"/>
    <hyperlink ref="G620" r:id="rId769" display="A5127716245"/>
    <hyperlink ref="C621" r:id="rId770" display="University of Puerto Rico"/>
    <hyperlink ref="G621" r:id="rId771" display="A5043684873"/>
    <hyperlink ref="G622" r:id="rId772" display="A5078125909"/>
    <hyperlink ref="C623" r:id="rId773" display="Kansas State University"/>
    <hyperlink ref="G623" r:id="rId774" display="A5063015504"/>
    <hyperlink ref="C624" r:id="rId775" display="Minnesota State University, Mankato"/>
    <hyperlink ref="G624" r:id="rId776" display="A5056624115"/>
    <hyperlink ref="C625" r:id="rId777" display="Kansas State University"/>
    <hyperlink ref="G625" r:id="rId778" display="A5032894047"/>
    <hyperlink ref="G626" r:id="rId779" display="A5086573909"/>
    <hyperlink ref="C627" r:id="rId780" display="Cal Poly, San Luis Obispo"/>
    <hyperlink ref="G627" r:id="rId781" display="A5048642685"/>
    <hyperlink ref="C628" r:id="rId782" display="UCLA"/>
    <hyperlink ref="G628" r:id="rId783" display="A5150305920"/>
    <hyperlink ref="C629" r:id="rId784" display="Florida State University"/>
    <hyperlink ref="G629" r:id="rId785" display="A5086510388"/>
    <hyperlink ref="C630" r:id="rId786" display="Columbia University"/>
    <hyperlink ref="G630" r:id="rId787" display="A5052773583"/>
    <hyperlink ref="G631" r:id="rId788" display="A5104509120"/>
    <hyperlink ref="G632" r:id="rId789" display="A5104548131"/>
    <hyperlink ref="G633" r:id="rId790" display="A5104509109"/>
    <hyperlink ref="G634" r:id="rId791" display="A5104494652"/>
    <hyperlink ref="C635" r:id="rId792" display="Virginia Commonwealth University"/>
    <hyperlink ref="G635" r:id="rId793" display="A5007678868"/>
    <hyperlink ref="G636" r:id="rId794" display="A5088660355"/>
    <hyperlink ref="G637" r:id="rId795" display="A5135199498"/>
    <hyperlink ref="G638" r:id="rId796" display="A5065028456"/>
    <hyperlink ref="C639" r:id="rId797" display="Texas A&amp;M University"/>
    <hyperlink ref="G639" r:id="rId798" display="A5100424906"/>
    <hyperlink ref="G640" r:id="rId799" display="A5101930571"/>
    <hyperlink ref="G641" r:id="rId800" display="A5010532561"/>
    <hyperlink ref="G642" r:id="rId801" display="A5037430663"/>
    <hyperlink ref="G643" r:id="rId802" display="A5115604106"/>
    <hyperlink ref="C644" r:id="rId803" display="University of Washington"/>
    <hyperlink ref="G644" r:id="rId804" display="A5026114294"/>
    <hyperlink ref="G645" r:id="rId805" display="A5026249794"/>
    <hyperlink ref="G646" r:id="rId806" display="A5133769023"/>
    <hyperlink ref="G647" r:id="rId807" display="A5138344985"/>
    <hyperlink ref="C648" r:id="rId808" display="UNC"/>
    <hyperlink ref="G648" r:id="rId809" display="A5074464195"/>
    <hyperlink ref="G649" r:id="rId810" display="A5074428072"/>
    <hyperlink ref="G650" r:id="rId811" display="A5055748015"/>
    <hyperlink ref="G651" r:id="rId812" display="A5047156712"/>
    <hyperlink ref="G652" r:id="rId813" display="A5126730044"/>
    <hyperlink ref="C653" r:id="rId814" display="University of Puerto Rico"/>
    <hyperlink ref="G653" r:id="rId815" display="A5093681082"/>
    <hyperlink ref="C654" r:id="rId816" display="Ball State University"/>
    <hyperlink ref="G654" r:id="rId817" display="A5081413082"/>
    <hyperlink ref="G655" r:id="rId818" display="A5141417783"/>
    <hyperlink ref="G656" r:id="rId819" display="A5051805471"/>
    <hyperlink ref="C657" r:id="rId820" display="University of Oklahoma"/>
    <hyperlink ref="G657" r:id="rId821" display="A5034073709"/>
    <hyperlink ref="C658" r:id="rId822" location="/academic-programs/urban-planning-design/urban-planning/index.html" display="Harvard University"/>
    <hyperlink ref="G658" r:id="rId823" display="A5103011380"/>
    <hyperlink ref="G659" r:id="rId824" display="A5052083424"/>
    <hyperlink ref="G660" r:id="rId825" display="A5103590590"/>
    <hyperlink ref="G661" r:id="rId826" display="A5108383616"/>
    <hyperlink ref="G662" r:id="rId827" display="A5143008902"/>
    <hyperlink ref="C663" r:id="rId828" display="Toronto Metropolitan University"/>
    <hyperlink ref="G663" r:id="rId829" display="A5037361738"/>
    <hyperlink ref="G664" r:id="rId830" display="A5102950171"/>
    <hyperlink ref="G665" r:id="rId831" display="A5081544715"/>
    <hyperlink ref="G666" r:id="rId832" display="A5068258585"/>
    <hyperlink ref="G667" r:id="rId833" display="A5055856196"/>
    <hyperlink ref="C668" r:id="rId834" display="Jackson State University"/>
    <hyperlink ref="G668" r:id="rId835" display="A5009153424"/>
    <hyperlink ref="C669" r:id="rId836" display="UC San Diego"/>
    <hyperlink ref="G669" r:id="rId837" display="A5013096816"/>
    <hyperlink ref="C670" r:id="rId838" display="University of Wisconsin, Madison"/>
    <hyperlink ref="G670" r:id="rId839" display="A5034610960"/>
    <hyperlink ref="C671" r:id="rId840" display="Alabama A&amp;M University"/>
    <hyperlink ref="G671" r:id="rId841" display="A5023127763"/>
    <hyperlink ref="G672" r:id="rId842" display="A5100652077"/>
    <hyperlink ref="G673" r:id="rId843" display="A5141046027"/>
    <hyperlink ref="C674" r:id="rId844" display="Tulane University"/>
    <hyperlink ref="G674" r:id="rId845" display="A5020105451"/>
    <hyperlink ref="G675" r:id="rId846" display="A5108176884"/>
    <hyperlink ref="C676" r:id="rId847" display="University of Alberta"/>
    <hyperlink ref="G676" r:id="rId848" display="A5116549640"/>
    <hyperlink ref="G677" r:id="rId849" display="A5075257972"/>
    <hyperlink ref="G678" r:id="rId850" display="A5118136701"/>
    <hyperlink ref="C679" r:id="rId851" display="Simon Fraser University"/>
    <hyperlink ref="G679" r:id="rId852" display="A5040940303"/>
    <hyperlink ref="G680" r:id="rId853" display="A5041286599"/>
    <hyperlink ref="G681" r:id="rId854" display="A5092114619"/>
    <hyperlink ref="C682" r:id="rId855" display="Wayne State University"/>
    <hyperlink ref="G682" r:id="rId856" display="A5147317534"/>
    <hyperlink ref="G683" r:id="rId857" display="A5041906155"/>
    <hyperlink ref="G684" r:id="rId858" display="A5009277364"/>
    <hyperlink ref="C685" r:id="rId859" display="UNC"/>
    <hyperlink ref="G685" r:id="rId860" display="A5122400263"/>
    <hyperlink ref="G686" r:id="rId861" display="A5123019724"/>
    <hyperlink ref="C687" r:id="rId862" display="University of British Columbia"/>
    <hyperlink ref="G687" r:id="rId863" display="A5123644279"/>
    <hyperlink ref="C688" r:id="rId864" display="Georgetown University"/>
    <hyperlink ref="G688" r:id="rId865" display="A5116664731"/>
    <hyperlink ref="G689" r:id="rId866" display="A5010928932"/>
    <hyperlink ref="G690" r:id="rId867" display="A5108907570"/>
    <hyperlink ref="G691" r:id="rId868" display="A5034471396"/>
    <hyperlink ref="C692" r:id="rId869" display="University of Puerto Rico"/>
    <hyperlink ref="G692" r:id="rId870" display="A5114529651"/>
    <hyperlink ref="C693" r:id="rId871" display="Morgan State University"/>
    <hyperlink ref="G693" r:id="rId872" display="A5095764010"/>
    <hyperlink ref="G694" r:id="rId873" display="A5112092499"/>
    <hyperlink ref="G695" r:id="rId874" display="A5002770667"/>
    <hyperlink ref="G696" r:id="rId875" display="A5006464235"/>
    <hyperlink ref="G697" r:id="rId876" display="A5011103505"/>
    <hyperlink ref="C698" r:id="rId877" display="University of Minnesota"/>
    <hyperlink ref="G698" r:id="rId878" display="A5136837689"/>
    <hyperlink ref="G699" r:id="rId879" display="A5134598480"/>
    <hyperlink ref="G700" r:id="rId880" display="A5133521592"/>
    <hyperlink ref="G701" r:id="rId881" display="A5002645774"/>
    <hyperlink ref="G702" r:id="rId882" display="A5126492805"/>
    <hyperlink ref="C703" r:id="rId883" display="Ohio State University"/>
    <hyperlink ref="G703" r:id="rId884" display="A5045014928"/>
    <hyperlink ref="G704" r:id="rId885" display="A5057518859"/>
    <hyperlink ref="G705" r:id="rId886" display="A5035040492"/>
    <hyperlink ref="G706" r:id="rId887" display="A5055050817"/>
    <hyperlink ref="G707" r:id="rId888" display="A5085662024"/>
    <hyperlink ref="C708" r:id="rId889" display="Queen's University"/>
    <hyperlink ref="G708" r:id="rId890" display="A5007069086"/>
    <hyperlink ref="G709" r:id="rId891" display="A5006360782"/>
    <hyperlink ref="G710" r:id="rId892" display="A5096374853"/>
    <hyperlink ref="G711" r:id="rId893" display="A5104349930"/>
    <hyperlink ref="G712" r:id="rId894" display="A5081361850"/>
    <hyperlink ref="C713" r:id="rId895" display="Queen's University"/>
    <hyperlink ref="G713" r:id="rId896" display="A5142450282"/>
    <hyperlink ref="G714" r:id="rId897" display="A5028941114"/>
    <hyperlink ref="G715" r:id="rId898" display="A5076714771"/>
    <hyperlink ref="C716" r:id="rId899" display="San Jose State University"/>
    <hyperlink ref="G716" r:id="rId900" display="A5058862982"/>
    <hyperlink ref="G717" r:id="rId901" display="A5075441541"/>
    <hyperlink ref="G718" r:id="rId902" display="A5027324129"/>
    <hyperlink ref="G719" r:id="rId903" display="A5105501055"/>
    <hyperlink ref="G720" r:id="rId904" display="A5110668492"/>
    <hyperlink ref="C721" r:id="rId905" display="University of Alberta"/>
    <hyperlink ref="G721" r:id="rId906" display="A5009620463"/>
    <hyperlink ref="G722" r:id="rId907" display="A5048062036"/>
    <hyperlink ref="G723" r:id="rId908" display="A5078254014"/>
    <hyperlink ref="G724" r:id="rId909" display="A5039395116"/>
    <hyperlink ref="G725" r:id="rId910" display="A5110236821"/>
    <hyperlink ref="C726" r:id="rId911" display="UC San Diego"/>
    <hyperlink ref="G726" r:id="rId912" display="A5018974631"/>
    <hyperlink ref="G727" r:id="rId913" display="A5101562910"/>
    <hyperlink ref="G728" r:id="rId914" display="A5039969369"/>
    <hyperlink ref="G729" r:id="rId915" display="A5040065162"/>
    <hyperlink ref="G730" r:id="rId916" display="A5088254403"/>
    <hyperlink ref="C731" r:id="rId917" display="Portland State University"/>
    <hyperlink ref="G731" r:id="rId918" display="A5017215412"/>
    <hyperlink ref="G732" r:id="rId919" display="A5008243000"/>
    <hyperlink ref="G733" r:id="rId920" display="A5021440756"/>
    <hyperlink ref="G734" r:id="rId921" display="A5130922883"/>
    <hyperlink ref="G735" r:id="rId922" display="A5090056662"/>
    <hyperlink ref="C736" r:id="rId923" display="Indiana University of Pennsylvania"/>
    <hyperlink ref="G736" r:id="rId924" display="A5072400168"/>
    <hyperlink ref="G737" r:id="rId925" display="A5062838577"/>
    <hyperlink ref="G738" r:id="rId926" display="A5068128792"/>
    <hyperlink ref="G739" r:id="rId927" display="A5081012880"/>
    <hyperlink ref="G740" r:id="rId928" display="A5128594077"/>
    <hyperlink ref="C741" r:id="rId929" display="University of Oklahoma"/>
    <hyperlink ref="G741" r:id="rId930" display="A5102363622"/>
    <hyperlink ref="G742" r:id="rId931" display="A5104832375"/>
    <hyperlink ref="G743" r:id="rId932" display="A5081110953"/>
    <hyperlink ref="G744" r:id="rId933" display="A5103531635"/>
    <hyperlink ref="G745" r:id="rId934" display="A5081355772"/>
    <hyperlink ref="C746" r:id="rId935" display="Northern Arizona University"/>
    <hyperlink ref="G746" r:id="rId936" display="A5091474292"/>
    <hyperlink ref="C747" r:id="rId937" display="Rowan University"/>
    <hyperlink ref="G747" r:id="rId938" display="A5067169952"/>
    <hyperlink ref="G748" r:id="rId939" display="A5100746953"/>
    <hyperlink ref="G749" r:id="rId940" display="A5110796344"/>
    <hyperlink ref="G750" r:id="rId941" display="A5100720515"/>
    <hyperlink ref="G751" r:id="rId942" display="A5062051871"/>
    <hyperlink ref="C752" r:id="rId943" display="UNC"/>
    <hyperlink ref="G752" r:id="rId944" display="A5029871720"/>
    <hyperlink ref="G753" r:id="rId945" display="A5112624240"/>
    <hyperlink ref="G754" r:id="rId946" display="A5112493744"/>
    <hyperlink ref="G755" r:id="rId947" display="A5085207082"/>
    <hyperlink ref="G756" r:id="rId948" display="A5060782022"/>
    <hyperlink ref="C757" r:id="rId949" display="University of Iowa"/>
    <hyperlink ref="G757" r:id="rId950" display="A5119773766"/>
    <hyperlink ref="G758" r:id="rId951" display="A5041149181"/>
    <hyperlink ref="G759" r:id="rId952" display="A5002627002"/>
    <hyperlink ref="G760" r:id="rId953" display="A5060063744"/>
    <hyperlink ref="C761" r:id="rId954" display="University of Puerto Rico"/>
    <hyperlink ref="G761" r:id="rId955" display="A5003708205"/>
    <hyperlink ref="G762" r:id="rId956" display="A5135913273"/>
    <hyperlink ref="G763" r:id="rId957" display="A5054612687"/>
    <hyperlink ref="G764" r:id="rId958" display="A5123657105"/>
    <hyperlink ref="G765" r:id="rId959" display="A5106060440"/>
    <hyperlink ref="C766" r:id="rId960" display="Tulane University"/>
    <hyperlink ref="G766" r:id="rId961" display="A5122399082"/>
    <hyperlink ref="G767" r:id="rId962" display="A5021456838"/>
    <hyperlink ref="G768" r:id="rId963" display="A5117103770"/>
    <hyperlink ref="C769" r:id="rId964" display="Western Washington University"/>
    <hyperlink ref="G769" r:id="rId965" display="A5098101053"/>
    <hyperlink ref="G770" r:id="rId966" display="A5003878536"/>
    <hyperlink ref="G771" r:id="rId967" display="A5097371904"/>
    <hyperlink ref="G772" r:id="rId968" display="A5033653963"/>
    <hyperlink ref="G773" r:id="rId969" display="A5055792513"/>
    <hyperlink ref="C774" r:id="rId970" display="Cal Poly, Pomona"/>
    <hyperlink ref="G774" r:id="rId971" display="A5100607740"/>
    <hyperlink ref="G775" r:id="rId972" display="A5100607741"/>
    <hyperlink ref="G776" r:id="rId973" display="A5100607750"/>
    <hyperlink ref="G777" r:id="rId974" display="A5100607752"/>
    <hyperlink ref="G778" r:id="rId975" display="A5100607742"/>
    <hyperlink ref="C779" r:id="rId976" display="UC Irvine"/>
    <hyperlink ref="G779" r:id="rId977" display="A5100752486"/>
    <hyperlink ref="G780" r:id="rId978" display="A5110645519"/>
    <hyperlink ref="G781" r:id="rId979" display="A5052025293"/>
    <hyperlink ref="G782" r:id="rId980" display="A5101527104"/>
    <hyperlink ref="G783" r:id="rId981" display="A5100752484"/>
    <hyperlink ref="C784" r:id="rId982" display="Arizona State University"/>
    <hyperlink ref="G784" r:id="rId983" display="A5026257733"/>
    <hyperlink ref="G785" r:id="rId984" display="A5040097416"/>
    <hyperlink ref="G786" r:id="rId985" display="A5052427448"/>
    <hyperlink ref="G787" r:id="rId986" display="A5044369021"/>
    <hyperlink ref="G788" r:id="rId987" display="A5074596019"/>
    <hyperlink ref="C789" r:id="rId988" display="University of Florida"/>
    <hyperlink ref="G789" r:id="rId989" display="A5092771240"/>
    <hyperlink ref="C790" r:id="rId990" display="University of Toledo"/>
    <hyperlink ref="G790" r:id="rId991" display="A5043568452"/>
    <hyperlink ref="G791" r:id="rId992" display="A5085557350"/>
    <hyperlink ref="G792" r:id="rId993" display="A5069923369"/>
    <hyperlink ref="G793" r:id="rId994" display="A5103952379"/>
    <hyperlink ref="G794" r:id="rId995" display="A5054585473"/>
    <hyperlink ref="C795" r:id="rId996" display="Texas A&amp;M University"/>
    <hyperlink ref="G795" r:id="rId997" display="A5128912634"/>
    <hyperlink ref="G796" r:id="rId998" display="A5106700972"/>
    <hyperlink ref="G797" r:id="rId999" display="A5100708046"/>
    <hyperlink ref="G798" r:id="rId1000" display="A5022835351"/>
    <hyperlink ref="G799" r:id="rId1001" display="A5041328042"/>
    <hyperlink ref="C800" r:id="rId1002" display="State University of New York at Albany"/>
    <hyperlink ref="G800" r:id="rId1003" display="A5020081385"/>
    <hyperlink ref="G801" r:id="rId1004" display="A5101719896"/>
    <hyperlink ref="G802" r:id="rId1005" display="A5009434691"/>
    <hyperlink ref="G803" r:id="rId1006" display="A5101417889"/>
    <hyperlink ref="G804" r:id="rId1007" display="A5016971671"/>
    <hyperlink ref="C805" r:id="rId1008" display="University of Oregon"/>
    <hyperlink ref="G805" r:id="rId1009" display="A5002461889"/>
    <hyperlink ref="G806" r:id="rId1010" display="A5060575832"/>
    <hyperlink ref="G807" r:id="rId1011" display="A5112514797"/>
    <hyperlink ref="G808" r:id="rId1012" display="A5079126831"/>
    <hyperlink ref="G809" r:id="rId1013" display="A5023693688"/>
    <hyperlink ref="C810" r:id="rId1014" display="University of Waterloo, Ontario"/>
    <hyperlink ref="G810" r:id="rId1015" display="A5103437114"/>
    <hyperlink ref="G811" r:id="rId1016" display="A5057936203"/>
    <hyperlink ref="G812" r:id="rId1017" display="A5086968933"/>
    <hyperlink ref="G813" r:id="rId1018" display="A5029550387"/>
    <hyperlink ref="G814" r:id="rId1019" display="A5049295104"/>
    <hyperlink ref="C815" r:id="rId1020" display="Cal Poly, Pomona"/>
    <hyperlink ref="G815" r:id="rId1021" display="A5147204232"/>
    <hyperlink ref="G816" r:id="rId1022" display="A5045286041"/>
    <hyperlink ref="G817" r:id="rId1023" display="A5136182860"/>
    <hyperlink ref="G818" r:id="rId1024" display="A5067585461"/>
    <hyperlink ref="G819" r:id="rId1025" display="A5147695929"/>
    <hyperlink ref="C820" r:id="rId1026" display="State University of New York at Albany"/>
    <hyperlink ref="G820" r:id="rId1027" display="A5100448482"/>
    <hyperlink ref="G821" r:id="rId1028" display="A5100448563"/>
    <hyperlink ref="G822" r:id="rId1029" display="A5100448602"/>
    <hyperlink ref="G823" r:id="rId1030" display="A5100758991"/>
    <hyperlink ref="G824" r:id="rId1031" display="A5100758993"/>
    <hyperlink ref="C825" r:id="rId1032" display="Texas A&amp;M University"/>
    <hyperlink ref="G825" r:id="rId1033" display="A5100318166"/>
    <hyperlink ref="G826" r:id="rId1034" display="A5109869303"/>
    <hyperlink ref="G827" r:id="rId1035" display="A5100318024"/>
    <hyperlink ref="G828" r:id="rId1036" display="A5100318019"/>
    <hyperlink ref="G829" r:id="rId1037" display="A5100318158"/>
    <hyperlink ref="C830" r:id="rId1038" display="Portland State University"/>
    <hyperlink ref="G830" r:id="rId1039" display="A5072604421"/>
    <hyperlink ref="G831" r:id="rId1040" display="A5101921215"/>
    <hyperlink ref="G832" r:id="rId1041" display="A5134487915"/>
    <hyperlink ref="G833" r:id="rId1042" display="A5121532501"/>
    <hyperlink ref="G834" r:id="rId1043" display="A5079437104"/>
    <hyperlink ref="C835" r:id="rId1044" display="UC Irvine"/>
    <hyperlink ref="G835" r:id="rId1045" display="A5110819827"/>
    <hyperlink ref="G836" r:id="rId1046" display="A5024675811"/>
    <hyperlink ref="G837" r:id="rId1047" display="A5015679157"/>
    <hyperlink ref="G838" r:id="rId1048" display="A5100467800"/>
    <hyperlink ref="G839" r:id="rId1049" display="A5140903333"/>
    <hyperlink ref="C840" r:id="rId1050" display="Jackson State University"/>
    <hyperlink ref="G840" r:id="rId1051" display="A5134418069"/>
    <hyperlink ref="G841" r:id="rId1052" display="A5126153449"/>
    <hyperlink ref="C842" r:id="rId1053" display="University of Virginia"/>
    <hyperlink ref="G842" r:id="rId1054" display="A5071929486"/>
    <hyperlink ref="C843" r:id="rId1055" display="University of Maryland"/>
    <hyperlink ref="G843" r:id="rId1056" display="A5034431014"/>
    <hyperlink ref="G844" r:id="rId1057" display="A5079693592"/>
    <hyperlink ref="G845" r:id="rId1058" display="A5046057771"/>
    <hyperlink ref="G846" r:id="rId1059" display="A5130863216"/>
    <hyperlink ref="G847" r:id="rId1060" display="A5074605256"/>
    <hyperlink ref="C848" r:id="rId1061" display="Wayne State University"/>
    <hyperlink ref="G848" r:id="rId1062" display="A5030207290"/>
    <hyperlink ref="C849" r:id="rId1063" display="Alabama A&amp;M University"/>
    <hyperlink ref="G849" r:id="rId1064" display="A5081607544"/>
    <hyperlink ref="G850" r:id="rId1065" display="A5067257452"/>
    <hyperlink ref="G851" r:id="rId1066" display="A5048837775"/>
    <hyperlink ref="C852" r:id="rId1067" display="Universite Laval"/>
    <hyperlink ref="G852" r:id="rId1068" display="A5102844859"/>
    <hyperlink ref="G853" r:id="rId1069" display="A5015907260"/>
    <hyperlink ref="G854" r:id="rId1070" display="A5099372847"/>
    <hyperlink ref="G855" r:id="rId1071" display="A5099375825"/>
    <hyperlink ref="G856" r:id="rId1072" display="A5099367183"/>
    <hyperlink ref="C857" r:id="rId1073" display="UC Berkeley"/>
    <hyperlink ref="G857" r:id="rId1074" display="A5074468125"/>
    <hyperlink ref="G858" r:id="rId1075" display="A5034907247"/>
    <hyperlink ref="G859" r:id="rId1076" display="A5101925707"/>
    <hyperlink ref="G860" r:id="rId1077" display="A5054241961"/>
    <hyperlink ref="G861" r:id="rId1078" display="A5033472437"/>
    <hyperlink ref="C862" r:id="rId1079" display="Columbia University"/>
    <hyperlink ref="G862" r:id="rId1080" display="A5075348602"/>
    <hyperlink ref="G863" r:id="rId1081" display="A5085609128"/>
    <hyperlink ref="G864" r:id="rId1082" display="A5033898282"/>
    <hyperlink ref="G865" r:id="rId1083" display="A5124480705"/>
    <hyperlink ref="G866" r:id="rId1084" display="A5148139918"/>
    <hyperlink ref="C867" r:id="rId1085" display="Pratt Institute"/>
    <hyperlink ref="G867" r:id="rId1086" display="A5025086879"/>
    <hyperlink ref="G868" r:id="rId1087" display="A5072912146"/>
    <hyperlink ref="G869" r:id="rId1088" display="A5045440387"/>
    <hyperlink ref="G870" r:id="rId1089" display="A5021651218"/>
    <hyperlink ref="G871" r:id="rId1090" display="A5025114039"/>
    <hyperlink ref="C872" r:id="rId1091" display="University of Georgia"/>
    <hyperlink ref="G872" r:id="rId1092" display="A5033392915"/>
    <hyperlink ref="G873" r:id="rId1093" display="A5101541374"/>
    <hyperlink ref="G874" r:id="rId1094" display="A5104097433"/>
    <hyperlink ref="G875" r:id="rId1095" display="A5103502855"/>
    <hyperlink ref="G876" r:id="rId1096" display="A5056219478"/>
    <hyperlink ref="C877" r:id="rId1097" display="Northeastern University"/>
    <hyperlink ref="G877" r:id="rId1098" display="A5119371379"/>
    <hyperlink ref="G878" r:id="rId1099" display="A5068297670"/>
    <hyperlink ref="G879" r:id="rId1100" display="A5130385571"/>
    <hyperlink ref="G880" r:id="rId1101" display="A5107927394"/>
    <hyperlink ref="G881" r:id="rId1102" display="A5064059059"/>
    <hyperlink ref="C882" r:id="rId1103" display="University of Georgia"/>
    <hyperlink ref="G882" r:id="rId1104" display="A5028369118"/>
    <hyperlink ref="G883" r:id="rId1105" display="A5071127114"/>
    <hyperlink ref="C884" r:id="rId1106" display="University of Alberta"/>
    <hyperlink ref="G884" r:id="rId1107" display="A5017496956"/>
    <hyperlink ref="G885" r:id="rId1108" display="A5029960592"/>
    <hyperlink ref="G886" r:id="rId1109" display="A5104070568"/>
    <hyperlink ref="G887" r:id="rId1110" display="A5044378029"/>
    <hyperlink ref="G888" r:id="rId1111" display="A5057925236"/>
    <hyperlink ref="C889" r:id="rId1112" display="University of Nebraska"/>
    <hyperlink ref="G889" r:id="rId1113" display="A5103783263"/>
    <hyperlink ref="G890" r:id="rId1114" display="A5134209259"/>
    <hyperlink ref="G891" r:id="rId1115" display="A5137642299"/>
    <hyperlink ref="G892" r:id="rId1116" display="A5002591515"/>
    <hyperlink ref="G893" r:id="rId1117" display="A5134872800"/>
    <hyperlink ref="C894" r:id="rId1118" display="York University"/>
    <hyperlink ref="G894" r:id="rId1119" display="A5070891342"/>
    <hyperlink ref="G895" r:id="rId1120" display="A5076731802"/>
    <hyperlink ref="G896" r:id="rId1121" display="A5073445803"/>
    <hyperlink ref="G897" r:id="rId1122" display="A5109423856"/>
    <hyperlink ref="G898" r:id="rId1123" display="A5060226181"/>
    <hyperlink ref="C899" r:id="rId1124" display="Jackson State University"/>
    <hyperlink ref="G899" r:id="rId1125" display="A5136973473"/>
    <hyperlink ref="C900" r:id="rId1126" display="UCLA"/>
    <hyperlink ref="G900" r:id="rId1127" display="A5114641487"/>
    <hyperlink ref="G901" r:id="rId1128" display="A5029592404"/>
    <hyperlink ref="G902" r:id="rId1129" display="A5093767479"/>
    <hyperlink ref="G903" r:id="rId1130" display="A5020952587"/>
    <hyperlink ref="C904" r:id="rId1131" display="University of Florida"/>
    <hyperlink ref="G904" r:id="rId1132" display="A5100322555"/>
    <hyperlink ref="G905" r:id="rId1133" display="A5100322630"/>
    <hyperlink ref="G906" r:id="rId1134" display="A5100322900"/>
    <hyperlink ref="G907" r:id="rId1135" display="A5100322712"/>
    <hyperlink ref="G908" r:id="rId1136" display="A5100322888"/>
    <hyperlink ref="C909" r:id="rId1137" display="Kansas State University"/>
    <hyperlink ref="G909" r:id="rId1138" display="A5058785006"/>
    <hyperlink ref="G910" r:id="rId1139" display="A5096020839"/>
    <hyperlink ref="G911" r:id="rId1140" display="A5097548354"/>
    <hyperlink ref="G912" r:id="rId1141" display="A5046157674"/>
    <hyperlink ref="C913" r:id="rId1142" display="University of Texas, Austin"/>
    <hyperlink ref="G913" r:id="rId1143" display="A5053902230"/>
    <hyperlink ref="G914" r:id="rId1144" display="A5100642537"/>
    <hyperlink ref="G915" r:id="rId1145" display="A5100620621"/>
    <hyperlink ref="G916" r:id="rId1146" display="A5100447273"/>
    <hyperlink ref="G917" r:id="rId1147" display="A5100447253"/>
    <hyperlink ref="C918" r:id="rId1148" display="Virginia Tech"/>
    <hyperlink ref="G918" r:id="rId1149" display="A5100354734"/>
    <hyperlink ref="G919" r:id="rId1150" display="A5100354683"/>
    <hyperlink ref="G920" r:id="rId1151" display="A5100354659"/>
    <hyperlink ref="G921" r:id="rId1152" display="A5100354630"/>
    <hyperlink ref="G922" r:id="rId1153" display="A5100354569"/>
    <hyperlink ref="C923" r:id="rId1154" display="Rutgers University, School of Environmental &amp; Biological Sciences"/>
    <hyperlink ref="G923" r:id="rId1155" display="A5067304714"/>
    <hyperlink ref="G924" r:id="rId1156" display="A5096138337"/>
    <hyperlink ref="C925" r:id="rId1157" display="University of British Columbia"/>
    <hyperlink ref="G925" r:id="rId1158" display="A5074989743"/>
    <hyperlink ref="C926" r:id="rId1159" display="Indiana University of Pennsylvania"/>
    <hyperlink ref="G926" r:id="rId1160" display="A5080473731"/>
    <hyperlink ref="G927" r:id="rId1161" display="A5010156025"/>
    <hyperlink ref="C928" r:id="rId1162" display="University of Wisconsin, Madison"/>
    <hyperlink ref="G928" r:id="rId1163" display="A5015918077"/>
    <hyperlink ref="G929" r:id="rId1164" display="A5107474617"/>
    <hyperlink ref="C930" r:id="rId1165" display="University of Minnesota"/>
    <hyperlink ref="G930" r:id="rId1166" display="A5044182346"/>
    <hyperlink ref="G931" r:id="rId1167" display="A5001000970"/>
    <hyperlink ref="G932" r:id="rId1168" display="A5117356261"/>
    <hyperlink ref="G933" r:id="rId1169" display="A5066963472"/>
    <hyperlink ref="G934" r:id="rId1170" display="A5004593431"/>
    <hyperlink ref="C935" r:id="rId1171" display="Westfield State University"/>
    <hyperlink ref="G935" r:id="rId1172" display="A5044911662"/>
    <hyperlink ref="G936" r:id="rId1173" display="A5049840320"/>
    <hyperlink ref="G937" r:id="rId1174" display="A5091912481"/>
    <hyperlink ref="C938" r:id="rId1175" display="West Chester University"/>
    <hyperlink ref="G938" r:id="rId1176" display="A5034365795"/>
    <hyperlink ref="G939" r:id="rId1177" display="A5000882687"/>
    <hyperlink ref="G940" r:id="rId1178" display="A5062731189"/>
    <hyperlink ref="C941" r:id="rId1179" display="University at Buffalo, The State University of New York"/>
    <hyperlink ref="G941" r:id="rId1180" display="A5036525328"/>
    <hyperlink ref="G942" r:id="rId1181" display="A5114456928"/>
    <hyperlink ref="G943" r:id="rId1182" display="A5115430315"/>
    <hyperlink ref="C944" r:id="rId1183" display="San Diego State University"/>
    <hyperlink ref="G944" r:id="rId1184" display="A5092949360"/>
    <hyperlink ref="G945" r:id="rId1185" display="A5115732615"/>
    <hyperlink ref="C946" r:id="rId1186" display="University of Quebec in Montreal"/>
    <hyperlink ref="G946" r:id="rId1187" display="A5030554974"/>
    <hyperlink ref="G947" r:id="rId1188" display="A5044744062"/>
    <hyperlink ref="G948" r:id="rId1189" display="A5093751708"/>
    <hyperlink ref="G949" r:id="rId1190" display="A5133191090"/>
    <hyperlink ref="C950" r:id="rId1191" display="University of Wisconsin, Milwaukee"/>
    <hyperlink ref="G950" r:id="rId1192" display="A5087544477"/>
    <hyperlink ref="G951" r:id="rId1193" display="A5027666083"/>
    <hyperlink ref="G952" r:id="rId1194" display="A5022678205"/>
    <hyperlink ref="G953" r:id="rId1195" display="A5147223830"/>
    <hyperlink ref="G954" r:id="rId1196" display="A5018151237"/>
    <hyperlink ref="C955" r:id="rId1197" display="Indiana University of Pennsylvania"/>
    <hyperlink ref="G955" r:id="rId1198" display="A5027486496"/>
    <hyperlink ref="G956" r:id="rId1199" display="A5144669046"/>
    <hyperlink ref="G957" r:id="rId1200" display="A5019694491"/>
    <hyperlink ref="G958" r:id="rId1201" display="A5027794797"/>
    <hyperlink ref="C959" r:id="rId1202" display="Eastern Michigan University"/>
    <hyperlink ref="G959" r:id="rId1203" display="A5074843401"/>
    <hyperlink ref="G960" r:id="rId1204" display="A5085573979"/>
    <hyperlink ref="C961" r:id="rId1205" display="Northeastern University"/>
    <hyperlink ref="G961" r:id="rId1206" display="A5092903872"/>
    <hyperlink ref="G962" r:id="rId1207" display="A5099147677"/>
    <hyperlink ref="C963" r:id="rId1208" display="Northeastern University"/>
    <hyperlink ref="G963" r:id="rId1209" display="A5025328042"/>
    <hyperlink ref="C964" r:id="rId1210" display="Toronto Metropolitan University"/>
    <hyperlink ref="G964" r:id="rId1211" display="A5106812179"/>
    <hyperlink ref="G965" r:id="rId1212" display="A5125128602"/>
    <hyperlink ref="G966" r:id="rId1213" display="A5117516751"/>
    <hyperlink ref="G967" r:id="rId1214" display="A5078722689"/>
    <hyperlink ref="C968" r:id="rId1215" display="University of Texas, Arlington"/>
    <hyperlink ref="G968" r:id="rId1216" display="A5072055173"/>
    <hyperlink ref="G969" r:id="rId1217" display="A5140491892"/>
    <hyperlink ref="C970" r:id="rId1218" display="Cal Poly, San Luis Obispo"/>
    <hyperlink ref="G970" r:id="rId1219" display="A5006018870"/>
    <hyperlink ref="G971" r:id="rId1220" display="A5124872388"/>
    <hyperlink ref="G972" r:id="rId1221" display="A5084450283"/>
    <hyperlink ref="C973" r:id="rId1222" display="Morgan State University"/>
    <hyperlink ref="G973" r:id="rId1223" display="A5098846388"/>
    <hyperlink ref="G974" r:id="rId1224" display="A5138268724"/>
    <hyperlink ref="C975" r:id="rId1225" display="Pratt Institute"/>
    <hyperlink ref="G975" r:id="rId1226" display="A5050749020"/>
    <hyperlink ref="C976" r:id="rId1227" display="University of Washington"/>
    <hyperlink ref="G976" r:id="rId1228" display="A5012655879"/>
    <hyperlink ref="G977" r:id="rId1229" display="A5037227044"/>
    <hyperlink ref="G978" r:id="rId1230" display="A5084653699"/>
    <hyperlink ref="G979" r:id="rId1231" display="A5080002019"/>
    <hyperlink ref="G980" r:id="rId1232" display="A5104493531"/>
    <hyperlink ref="C981" r:id="rId1233" display="Minnesota State University, Mankato"/>
    <hyperlink ref="G981" r:id="rId1234" display="A5084071713"/>
    <hyperlink ref="C982" r:id="rId1235" display="Universite de Montreal"/>
    <hyperlink ref="G982" r:id="rId1236" display="A5028096392"/>
    <hyperlink ref="G983" r:id="rId1237" display="A5112780261"/>
    <hyperlink ref="G984" r:id="rId1238" display="A5111754466"/>
    <hyperlink ref="G985" r:id="rId1239" display="A5078577632"/>
    <hyperlink ref="C986" r:id="rId1240" display="Rutgers University, School of Environmental &amp; Biological Sciences"/>
    <hyperlink ref="G986" r:id="rId1241" display="A5017443877"/>
    <hyperlink ref="G987" r:id="rId1242" display="A5083152850"/>
    <hyperlink ref="C988" r:id="rId1243" display="Eastern Michigan University"/>
    <hyperlink ref="G988" r:id="rId1244" display="A5047256402"/>
    <hyperlink ref="C989" r:id="rId1245" display="University of Utah"/>
    <hyperlink ref="G989" r:id="rId1246" display="A5075115194"/>
    <hyperlink ref="G990" r:id="rId1247" display="A5050588605"/>
    <hyperlink ref="C991" r:id="rId1248" display="UC Irvine"/>
    <hyperlink ref="G991" r:id="rId1249" display="A5068355127"/>
    <hyperlink ref="G992" r:id="rId1250" display="A5037034635"/>
    <hyperlink ref="G993" r:id="rId1251" display="A5080805976"/>
    <hyperlink ref="G994" r:id="rId1252" display="A5083832129"/>
    <hyperlink ref="G995" r:id="rId1253" display="A5059349300"/>
    <hyperlink ref="C996" r:id="rId1254" display="University of Waterloo, Ontario"/>
    <hyperlink ref="G996" r:id="rId1255" display="A5072030073"/>
    <hyperlink ref="C997" r:id="rId1256" display="Universite Laval"/>
    <hyperlink ref="G997" r:id="rId1257" display="A5064285122"/>
    <hyperlink ref="G998" r:id="rId1258" display="A5100646631"/>
    <hyperlink ref="G999" r:id="rId1259" display="A5100702006"/>
    <hyperlink ref="G1000" r:id="rId1260" display="A5042180520"/>
    <hyperlink ref="G1001" r:id="rId1261" display="A5078581080"/>
    <hyperlink ref="C1002" r:id="rId1262" display="The New School"/>
    <hyperlink ref="G1002" r:id="rId1263" display="A5005260414"/>
    <hyperlink ref="C1003" r:id="rId1264" display="University of Wisconsin, Madison"/>
    <hyperlink ref="G1003" r:id="rId1265" display="A5052438575"/>
    <hyperlink ref="G1004" r:id="rId1266" display="A5035113690"/>
    <hyperlink ref="C1005" r:id="rId1267" display="University of Illinois, Chicago"/>
    <hyperlink ref="G1005" r:id="rId1268" display="A5030696367"/>
    <hyperlink ref="G1006" r:id="rId1269" display="A5037334757"/>
    <hyperlink ref="G1007" r:id="rId1270" display="A5138263739"/>
    <hyperlink ref="G1008" r:id="rId1271" display="A5140704453"/>
    <hyperlink ref="C1009" r:id="rId1272" display="Cal Poly, Pomona"/>
    <hyperlink ref="C1010" r:id="rId1273" display="Florida State University"/>
    <hyperlink ref="C1011" r:id="rId1274" display="Portland State University"/>
    <hyperlink ref="C1012" r:id="rId1275" display="Virginia Tech"/>
    <hyperlink ref="C1013" r:id="rId1276" display="Toronto Metropolitan University"/>
    <hyperlink ref="C1014" r:id="rId1277" display="Cal Poly, Pomona"/>
    <hyperlink ref="C1015" r:id="rId1278" display="California State University, Northridge"/>
    <hyperlink ref="C1016" r:id="rId1279" display="University of Michigan"/>
    <hyperlink ref="C1017" r:id="rId1280" display="University of Oregon"/>
    <hyperlink ref="C1018" r:id="rId1281" display="Westfield State University"/>
    <hyperlink ref="C1019" r:id="rId1282" display="Morgan State University"/>
    <hyperlink ref="C1020" r:id="rId1283" display="University of Michigan"/>
    <hyperlink ref="C1021" r:id="rId1284" display="Appalachian State University"/>
    <hyperlink ref="C1022" r:id="rId1285" display="University of Toled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8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2026-09-15T16:22:13Z</dcterms:created>
  <dc:creator>openpyxl</dc:creator>
  <dc:description/>
  <dc:language>en-US</dc:language>
  <cp:lastModifiedBy/>
  <dcterms:modified xsi:type="dcterms:W3CDTF">2026-09-15T16:22:14Z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